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FP\Documentation\"/>
    </mc:Choice>
  </mc:AlternateContent>
  <xr:revisionPtr revIDLastSave="0" documentId="13_ncr:1_{4CE9301A-42F3-4DC8-AADC-790E0A1F1F83}"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5"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1" l="1"/>
  <c r="H80" i="10"/>
  <c r="H80" i="9"/>
  <c r="H80" i="7"/>
  <c r="H80" i="6"/>
  <c r="H80" i="5"/>
</calcChain>
</file>

<file path=xl/sharedStrings.xml><?xml version="1.0" encoding="utf-8"?>
<sst xmlns="http://schemas.openxmlformats.org/spreadsheetml/2006/main" count="185" uniqueCount="72">
  <si>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</si>
  <si>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</si>
  <si>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</si>
  <si>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</si>
  <si>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</si>
  <si>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</si>
  <si>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</si>
  <si>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</si>
  <si>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</si>
  <si>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</si>
  <si>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</si>
  <si>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</si>
  <si>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</si>
  <si>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</si>
  <si>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</si>
  <si>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</si>
  <si>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</si>
  <si>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</si>
  <si>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</si>
  <si>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</si>
  <si>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</si>
  <si>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</si>
  <si>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</si>
  <si>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</si>
  <si>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</si>
  <si>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</si>
  <si>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</si>
  <si>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</si>
  <si>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</si>
  <si>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</si>
  <si>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</si>
  <si>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</si>
  <si>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</si>
  <si>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</si>
  <si>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</si>
  <si>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</si>
  <si>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</si>
  <si>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</si>
  <si>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</si>
  <si>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</si>
  <si>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</si>
  <si>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</si>
  <si>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</si>
  <si>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</si>
  <si>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</si>
  <si>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</si>
  <si>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</si>
  <si>
    <t>Compiled all the different adders on both devices, recorded the LE/ALM usage, make the quartus output file, then renamed the vho and sdo files. Then I made the .do files for the cyclone/arria versions</t>
  </si>
  <si>
    <t>Work on the cost analysis section of the report, converted everything into $ spend in order to compare them</t>
  </si>
  <si>
    <t>Worked on the performance analysis section of the report, convering things into performance and calculating speedup, working on the scatterplot for the cost performance ratio</t>
  </si>
  <si>
    <t>Finished the cost performance analysis, revising the adder design section</t>
  </si>
  <si>
    <t>Completed the report</t>
  </si>
  <si>
    <t>Set up the project hierarchy, github repo, read through the file to see what to do</t>
  </si>
  <si>
    <t>Started on ShiftSeparate222222 which is a shifter that uses 6 2 input muxes to do the shifting, and the srl sra sll are separately implemented</t>
  </si>
  <si>
    <t>Partially completed the ShiftSeparate222222, still working on the ExtWord</t>
  </si>
  <si>
    <t>Finished with the shift implementations, just missing the part where it handles the 32 version instructions</t>
  </si>
  <si>
    <t>Spent time trying to figure out how to have multiple configurations for the exu and also the testbench whilst also having the generic parameters. Decided to create multiple architectures, in one exu vhd files.</t>
  </si>
  <si>
    <t>Started the top level exu, realized I needed to modify shift to accommodate the generic parameters, then change the naming scheme of the shifter</t>
  </si>
  <si>
    <t>Finally figured out the way to implmenet. ExU Shifter Adder all have their own generics with default values, exu will have multiple architectures and not pass in generic values. Will compile all the different vho files, then in the testbench a config file selects either different architectures or the vho version architecure, to test different N, will have to manually adjust the N value in the vhd files then recompile everything</t>
  </si>
  <si>
    <t>Reworked the shifter to take in N parameters, and also with 32 bit instructions</t>
  </si>
  <si>
    <t>Fixed some conflicts in the adder and the exu</t>
  </si>
  <si>
    <t>Spent some time trying resolve issues with the flags, edited parts of the testbench, realized that the 32 instructions don’t need proper flags, then reverted th changes with the flag, still trying to figure out whats wrong with the flags</t>
  </si>
  <si>
    <t>9:55PM</t>
  </si>
  <si>
    <t>The flags are still not working, suspecting that its an issue with the test vectors not setting addnsub to 1 for slt and sltu</t>
  </si>
  <si>
    <t>Fixed the shifter and exu, the exu passed the functional test</t>
  </si>
  <si>
    <t>Tried to implement a new shifter that combines the sra srl and sll into one barrel shifter</t>
  </si>
  <si>
    <t>Gave up on trying to do all three in one shifter, now trying to make srl and sll into one shifter, this is done by reversing the bits of the input if srl and reversing back later</t>
  </si>
  <si>
    <t>Finished and completed functional test of new shifter, started workingon the barrel shifter section of the report</t>
  </si>
  <si>
    <t>Spent time trying to see if I can incorporate all three shifters into one again,new idea is to shift while adding values</t>
  </si>
  <si>
    <t>Wrote all the architectures for all the combinations of adders and shifters, managed to get the shifter compiling, unsure as to the functional correctness</t>
  </si>
  <si>
    <t>Modified the testbench to also handle timing simulations</t>
  </si>
  <si>
    <t>Compile 24 design candidates, renaming vho sdo and noting down resource usage, then edited all the config files to include timing. Finally, coded all the timing simulation do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</si>
</sst>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opLeftCell="A6" zoomScale="85" zoomScaleNormal="85" workbookViewId="0">
      <selection activeCell="C23" sqref="C23:C24"/>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v>9263</v>
      </c>
      <c r="C20" s="21">
        <v>45978</v>
      </c>
      <c r="D20" s="19">
        <v>0.5625</v>
      </c>
      <c r="E20" s="22">
        <v>0.625</v>
      </c>
      <c r="F20" s="34"/>
      <c r="G20" s="16" t="s">
        <v>47</v>
      </c>
      <c r="H20" s="26">
        <f t="shared" si="1"/>
        <v>1.5</v>
      </c>
    </row>
    <row r="21" spans="1:8" ht="25" customHeight="1" x14ac:dyDescent="0.45">
      <c r="A21" s="31"/>
      <c r="B21" s="13">
        <v>9263</v>
      </c>
      <c r="C21" s="21">
        <v>45979</v>
      </c>
      <c r="D21" s="19">
        <v>0.75</v>
      </c>
      <c r="E21" s="22">
        <v>0.8125</v>
      </c>
      <c r="F21" s="34"/>
      <c r="G21" s="16" t="s">
        <v>48</v>
      </c>
      <c r="H21" s="26">
        <f t="shared" si="1"/>
        <v>1.5</v>
      </c>
    </row>
    <row r="22" spans="1:8" ht="25" customHeight="1" x14ac:dyDescent="0.45">
      <c r="A22" s="31"/>
      <c r="B22" s="13">
        <v>9263</v>
      </c>
      <c r="C22" s="21">
        <v>45980</v>
      </c>
      <c r="D22" s="19">
        <v>0.8125</v>
      </c>
      <c r="E22" s="22">
        <v>0.875</v>
      </c>
      <c r="F22" s="34"/>
      <c r="G22" s="16" t="s">
        <v>49</v>
      </c>
      <c r="H22" s="26">
        <f t="shared" si="1"/>
        <v>1.5</v>
      </c>
    </row>
    <row r="23" spans="1:8" ht="25" customHeight="1" x14ac:dyDescent="0.45">
      <c r="A23" s="31"/>
      <c r="B23" s="13">
        <v>9263</v>
      </c>
      <c r="C23" s="21">
        <v>45981</v>
      </c>
      <c r="D23" s="19">
        <v>0.875</v>
      </c>
      <c r="E23" s="22">
        <v>0.9375</v>
      </c>
      <c r="F23" s="34"/>
      <c r="G23" s="16" t="s">
        <v>50</v>
      </c>
      <c r="H23" s="26">
        <f t="shared" si="1"/>
        <v>1.5</v>
      </c>
    </row>
    <row r="24" spans="1:8" ht="25" customHeight="1" x14ac:dyDescent="0.45">
      <c r="A24" s="31"/>
      <c r="B24" s="13">
        <v>9263</v>
      </c>
      <c r="C24" s="21">
        <v>45982</v>
      </c>
      <c r="D24" s="19">
        <v>0.9375</v>
      </c>
      <c r="E24" s="22">
        <v>0.99305555555555558</v>
      </c>
      <c r="F24" s="34"/>
      <c r="G24" s="16" t="s">
        <v>51</v>
      </c>
      <c r="H24" s="26">
        <f t="shared" si="1"/>
        <v>1.3333333333333339</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23.200000000000003</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tabSelected="1" topLeftCell="E6" zoomScale="85" zoomScaleNormal="85" workbookViewId="0">
      <selection activeCell="G25" sqref="G25"/>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18</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45989</v>
      </c>
      <c r="D7" s="19">
        <v>0.54166666666666663</v>
      </c>
      <c r="E7" s="20">
        <v>0.5625</v>
      </c>
      <c r="F7" s="33"/>
      <c r="G7" s="15" t="s">
        <v>52</v>
      </c>
      <c r="H7" s="11">
        <f t="shared" ref="H7" si="0">(E7-D7)*24</f>
        <v>0.50000000000000089</v>
      </c>
      <c r="I7" s="9"/>
    </row>
    <row r="8" spans="1:9" ht="25" customHeight="1" x14ac:dyDescent="0.45">
      <c r="A8" s="31"/>
      <c r="B8" s="13">
        <v>9263</v>
      </c>
      <c r="C8" s="21">
        <v>45989</v>
      </c>
      <c r="D8" s="19">
        <v>0.5625</v>
      </c>
      <c r="E8" s="22">
        <v>0.60416666666666663</v>
      </c>
      <c r="F8" s="34"/>
      <c r="G8" s="16" t="s">
        <v>53</v>
      </c>
      <c r="H8" s="26">
        <f>(E8-D8)*24</f>
        <v>0.99999999999999911</v>
      </c>
    </row>
    <row r="9" spans="1:9" ht="25" customHeight="1" x14ac:dyDescent="0.45">
      <c r="A9" s="31"/>
      <c r="B9" s="13">
        <v>9263</v>
      </c>
      <c r="C9" s="21">
        <v>45989</v>
      </c>
      <c r="D9" s="19">
        <v>0.60416666666666663</v>
      </c>
      <c r="E9" s="22">
        <v>0.64583333333333337</v>
      </c>
      <c r="F9" s="34"/>
      <c r="G9" s="16" t="s">
        <v>54</v>
      </c>
      <c r="H9" s="26">
        <f t="shared" ref="H9:H72" si="1">(E9-D9)*24</f>
        <v>1.0000000000000018</v>
      </c>
    </row>
    <row r="10" spans="1:9" ht="25" customHeight="1" x14ac:dyDescent="0.45">
      <c r="A10" s="31"/>
      <c r="B10" s="13">
        <v>9263</v>
      </c>
      <c r="C10" s="21">
        <v>45990</v>
      </c>
      <c r="D10" s="19">
        <v>0.54166666666666663</v>
      </c>
      <c r="E10" s="22">
        <v>0.58333333333333337</v>
      </c>
      <c r="F10" s="34"/>
      <c r="G10" s="16" t="s">
        <v>55</v>
      </c>
      <c r="H10" s="26">
        <f t="shared" si="1"/>
        <v>1.0000000000000018</v>
      </c>
    </row>
    <row r="11" spans="1:9" ht="25" customHeight="1" x14ac:dyDescent="0.45">
      <c r="A11" s="31"/>
      <c r="B11" s="13">
        <v>9263</v>
      </c>
      <c r="C11" s="21"/>
      <c r="D11" s="19">
        <v>0.58333333333333337</v>
      </c>
      <c r="E11" s="22">
        <v>0.625</v>
      </c>
      <c r="F11" s="34"/>
      <c r="G11" s="16" t="s">
        <v>56</v>
      </c>
      <c r="H11" s="26">
        <f t="shared" si="1"/>
        <v>0.99999999999999911</v>
      </c>
    </row>
    <row r="12" spans="1:9" ht="25" customHeight="1" x14ac:dyDescent="0.45">
      <c r="A12" s="31"/>
      <c r="B12" s="13">
        <v>9263</v>
      </c>
      <c r="C12" s="21"/>
      <c r="D12" s="19">
        <v>0.625</v>
      </c>
      <c r="E12" s="22">
        <v>0.6875</v>
      </c>
      <c r="F12" s="34"/>
      <c r="G12" s="16" t="s">
        <v>57</v>
      </c>
      <c r="H12" s="26">
        <f t="shared" si="1"/>
        <v>1.5</v>
      </c>
    </row>
    <row r="13" spans="1:9" ht="25" customHeight="1" x14ac:dyDescent="0.45">
      <c r="A13" s="31"/>
      <c r="B13" s="13">
        <v>9263</v>
      </c>
      <c r="C13" s="21"/>
      <c r="D13" s="19">
        <v>0.70833333333333337</v>
      </c>
      <c r="E13" s="22">
        <v>0.75</v>
      </c>
      <c r="F13" s="34"/>
      <c r="G13" s="16" t="s">
        <v>58</v>
      </c>
      <c r="H13" s="26">
        <f t="shared" si="1"/>
        <v>0.99999999999999911</v>
      </c>
    </row>
    <row r="14" spans="1:9" ht="25" customHeight="1" x14ac:dyDescent="0.45">
      <c r="A14" s="31"/>
      <c r="B14" s="13">
        <v>9263</v>
      </c>
      <c r="C14" s="21"/>
      <c r="D14" s="19">
        <v>0.75</v>
      </c>
      <c r="E14" s="22">
        <v>0.79166666666666663</v>
      </c>
      <c r="F14" s="34"/>
      <c r="G14" s="16" t="s">
        <v>59</v>
      </c>
      <c r="H14" s="26">
        <f t="shared" si="1"/>
        <v>0.99999999999999911</v>
      </c>
    </row>
    <row r="15" spans="1:9" ht="25" customHeight="1" x14ac:dyDescent="0.45">
      <c r="A15" s="31"/>
      <c r="B15" s="13">
        <v>9263</v>
      </c>
      <c r="C15" s="21">
        <v>45991</v>
      </c>
      <c r="D15" s="19">
        <v>0.70833333333333337</v>
      </c>
      <c r="E15" s="22">
        <v>0.75</v>
      </c>
      <c r="F15" s="34"/>
      <c r="G15" s="16" t="s">
        <v>60</v>
      </c>
      <c r="H15" s="26">
        <f t="shared" si="1"/>
        <v>0.99999999999999911</v>
      </c>
    </row>
    <row r="16" spans="1:9" ht="25" customHeight="1" x14ac:dyDescent="0.45">
      <c r="A16" s="31"/>
      <c r="B16" s="13"/>
      <c r="C16" s="21"/>
      <c r="D16" s="19">
        <v>0.79166666666666663</v>
      </c>
      <c r="E16" s="22">
        <v>0.875</v>
      </c>
      <c r="F16" s="34"/>
      <c r="G16" s="16" t="s">
        <v>61</v>
      </c>
      <c r="H16" s="26">
        <f t="shared" si="1"/>
        <v>2.0000000000000009</v>
      </c>
    </row>
    <row r="17" spans="1:8" ht="25" customHeight="1" x14ac:dyDescent="0.45">
      <c r="A17" s="31"/>
      <c r="B17" s="13"/>
      <c r="C17" s="21"/>
      <c r="D17" s="19">
        <v>0.875</v>
      </c>
      <c r="E17" s="22" t="s">
        <v>62</v>
      </c>
      <c r="F17" s="34"/>
      <c r="G17" s="16" t="s">
        <v>63</v>
      </c>
      <c r="H17" s="26" t="e">
        <f t="shared" si="1"/>
        <v>#VALUE!</v>
      </c>
    </row>
    <row r="18" spans="1:8" ht="25" customHeight="1" x14ac:dyDescent="0.45">
      <c r="A18" s="31"/>
      <c r="B18" s="13"/>
      <c r="C18" s="21"/>
      <c r="D18" s="19">
        <v>0.91666666666666663</v>
      </c>
      <c r="E18" s="22">
        <v>0.99930555555555556</v>
      </c>
      <c r="F18" s="34"/>
      <c r="G18" s="16" t="s">
        <v>64</v>
      </c>
      <c r="H18" s="26">
        <f t="shared" si="1"/>
        <v>1.9833333333333343</v>
      </c>
    </row>
    <row r="19" spans="1:8" ht="25" customHeight="1" x14ac:dyDescent="0.45">
      <c r="A19" s="31"/>
      <c r="B19" s="13"/>
      <c r="C19" s="21">
        <v>45992</v>
      </c>
      <c r="D19" s="19">
        <v>0.5625</v>
      </c>
      <c r="E19" s="22">
        <v>0.625</v>
      </c>
      <c r="F19" s="34"/>
      <c r="G19" s="16" t="s">
        <v>65</v>
      </c>
      <c r="H19" s="26">
        <f t="shared" si="1"/>
        <v>1.5</v>
      </c>
    </row>
    <row r="20" spans="1:8" ht="25" customHeight="1" x14ac:dyDescent="0.45">
      <c r="A20" s="31"/>
      <c r="B20" s="13"/>
      <c r="C20" s="21"/>
      <c r="D20" s="19">
        <v>0.625</v>
      </c>
      <c r="E20" s="22">
        <v>0.6875</v>
      </c>
      <c r="F20" s="34"/>
      <c r="G20" s="16" t="s">
        <v>66</v>
      </c>
      <c r="H20" s="26">
        <f t="shared" si="1"/>
        <v>1.5</v>
      </c>
    </row>
    <row r="21" spans="1:8" ht="25" customHeight="1" x14ac:dyDescent="0.45">
      <c r="A21" s="31"/>
      <c r="B21" s="13"/>
      <c r="C21" s="21"/>
      <c r="D21" s="19">
        <v>0.6875</v>
      </c>
      <c r="E21" s="22">
        <v>0.74305555555555558</v>
      </c>
      <c r="F21" s="34"/>
      <c r="G21" s="16" t="s">
        <v>67</v>
      </c>
      <c r="H21" s="26">
        <f t="shared" si="1"/>
        <v>1.3333333333333339</v>
      </c>
    </row>
    <row r="22" spans="1:8" ht="25" customHeight="1" x14ac:dyDescent="0.45">
      <c r="A22" s="31"/>
      <c r="B22" s="13"/>
      <c r="C22" s="21"/>
      <c r="D22" s="19">
        <v>0.75</v>
      </c>
      <c r="E22" s="22">
        <v>0.83333333333333337</v>
      </c>
      <c r="F22" s="34"/>
      <c r="G22" s="16" t="s">
        <v>68</v>
      </c>
      <c r="H22" s="26">
        <f t="shared" si="1"/>
        <v>2.0000000000000009</v>
      </c>
    </row>
    <row r="23" spans="1:8" ht="25" customHeight="1" x14ac:dyDescent="0.45">
      <c r="A23" s="31"/>
      <c r="B23" s="13"/>
      <c r="C23" s="21"/>
      <c r="D23" s="19">
        <v>0.875</v>
      </c>
      <c r="E23" s="22">
        <v>0.91666666666666663</v>
      </c>
      <c r="F23" s="34"/>
      <c r="G23" s="16" t="s">
        <v>69</v>
      </c>
      <c r="H23" s="26">
        <f t="shared" si="1"/>
        <v>0.99999999999999911</v>
      </c>
    </row>
    <row r="24" spans="1:8" ht="25" customHeight="1" x14ac:dyDescent="0.45">
      <c r="A24" s="31"/>
      <c r="B24" s="13"/>
      <c r="C24" s="21">
        <v>45993</v>
      </c>
      <c r="D24" s="19">
        <v>0.19444444444444445</v>
      </c>
      <c r="E24" s="22">
        <v>0.26041666666666669</v>
      </c>
      <c r="F24" s="34"/>
      <c r="G24" s="16" t="s">
        <v>70</v>
      </c>
      <c r="H24" s="26">
        <f t="shared" si="1"/>
        <v>1.5833333333333337</v>
      </c>
    </row>
    <row r="25" spans="1:8" ht="25" customHeight="1" x14ac:dyDescent="0.45">
      <c r="A25" s="31"/>
      <c r="B25" s="13"/>
      <c r="C25" s="21"/>
      <c r="D25" s="19">
        <v>0.26041666666666669</v>
      </c>
      <c r="E25" s="22">
        <v>0.33333333333333331</v>
      </c>
      <c r="F25" s="34"/>
      <c r="G25" s="16" t="s">
        <v>71</v>
      </c>
      <c r="H25" s="26">
        <f t="shared" si="1"/>
        <v>1.7499999999999991</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t="e">
        <f>SUM(H7:H79)</f>
        <v>#VALUE!</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2025-12-02T16:02:19Z</dcterms:modified>
</cp:coreProperties>
</file>