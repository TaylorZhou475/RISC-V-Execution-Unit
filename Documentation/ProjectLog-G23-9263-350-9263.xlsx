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aylo\OneDrive\Desktop\ENSC350\FP\Documentation\"/>
    </mc:Choice>
  </mc:AlternateContent>
  <xr:revisionPtr revIDLastSave="0" documentId="13_ncr:1_{6A9F6680-BAE0-4B39-8F4E-E904EB10ABBD}"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110" yWindow="-110" windowWidth="22780" windowHeight="14540" activeTab="5"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1" l="1"/>
  <c r="H80" i="10"/>
  <c r="H80" i="9"/>
  <c r="H80" i="7"/>
  <c r="H80" i="6"/>
  <c r="H80" i="5"/>
</calcChain>
</file>

<file path=xl/sharedStrings.xml><?xml version="1.0" encoding="utf-8"?>
<sst xmlns="http://schemas.openxmlformats.org/spreadsheetml/2006/main" count="136" uniqueCount="60">
  <si>
    <t>last  4 digits</t>
  </si>
  <si>
    <t>date</t>
  </si>
  <si>
    <t>starttime</t>
  </si>
  <si>
    <t>endtime</t>
  </si>
  <si>
    <t>Group Number:</t>
  </si>
  <si>
    <t>Full Student Number:</t>
  </si>
  <si>
    <t>Student Name:</t>
  </si>
  <si>
    <t>rsvd</t>
  </si>
  <si>
    <t>Duration</t>
  </si>
  <si>
    <t>Gxx</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</si>
  <si>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</si>
  <si>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</si>
  <si>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</si>
  <si>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</si>
  <si>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</si>
  <si>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</si>
  <si>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</si>
  <si>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</si>
  <si>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</si>
  <si>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</si>
  <si>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G23</t>
  </si>
  <si>
    <t>Taylor Zhou</t>
  </si>
  <si>
    <t>Brainstorm and outlined "Testbench and Simulation" Section of Project Report</t>
  </si>
  <si>
    <t>Researched and decided to create an implementation of carry-skip adder, with 4-bit ripple adder blocks. Created the FullAdder and 4-Bit Adder components that will later be used to implement the carry-skip adder.</t>
  </si>
  <si>
    <t>Revised my 4 bit adder and FA implementations to output the propagation bits to be used in the carry skip adder. Attempted to figure out how to instatiate a 4-bit block every 4 n based on the n bit input</t>
  </si>
  <si>
    <t>Implemented most of the carry skip adder, including the full block implementation with skip and the partial block case for n &lt; 4 or not a power 2. Struggled with the partial block case, and may still be wrong as its not fully tested. Also need to adjust the variable names to match the project specifications and add the overflow detection.</t>
  </si>
  <si>
    <t>After research and looking at the instructions again, realized that the project is asking for toplogy/implementation pairs, so ripple/cyclone, ripple/arria, CSA/cyclone, CSA/arria</t>
  </si>
  <si>
    <t>Editing the baseline and fast ripple to become RippleCarry_Cyclone and RippleCarry_Arria. Added the overflow detection for both files. Changed the calculation from unsigned to signed in the RippleCarry_Arria. Adjusted the variables names to better fit with requirements. Added comments for all new implementations.</t>
  </si>
  <si>
    <t>Spent time trying to figure out if the RippleCarry_Cyclone was meant to have different impelmentation from RippleCarry_Arria, decided that we would keep our current implmentation and move on.</t>
  </si>
  <si>
    <t>Analysed the post fitting and pre fitting maps of the RippleCarry_Arria and the RippleCarry_Cyclone in an attempt to understand how the FPGA resources are utilized. Still unsure as to how the logic elements are used by the FPGA, as I would have expected</t>
  </si>
  <si>
    <t>Completed the estimations of the used LE's/ALM's for the Ripple carry toplogy, and recorded down the actual amount used, added a table to the report that includes this.</t>
  </si>
  <si>
    <t>Completed the estimations of the used LE's/ALM's for the Conditional sum topology, and recorded down the actual amount used, started research into how to calculate the cost.</t>
  </si>
  <si>
    <t>Researched the prices and number of LE's for both FPGA boards, calculated the various parameters, inputting them into excel to create a table. Transcribed this all onto the report.</t>
  </si>
  <si>
    <t>Wrote the final parts of the summary report</t>
  </si>
  <si>
    <t>Researched on Brent Kung Adders, decided that a recursive implementation would fit best, begin creating the recursive component that is to be instatiated BrentKungGenerator</t>
  </si>
  <si>
    <t>Completed the recursive component of the BKA which calculates the generate and propagate signals for every digit recursively, need to still do the actual calcuation of the sums and carry using the signals in the main entity</t>
  </si>
  <si>
    <t>Finished designing the BKA_Cyclone, viewed the RTL netlist viewer to confirm recursive structure, began the design of the timing testbench</t>
  </si>
  <si>
    <t>Finished part of the testbench, spent some time trying to get the vho files</t>
  </si>
  <si>
    <t>Setup the basic structure of the testbench and one of the config files, discovered some issues in implementation of BKA from running the functional testbench</t>
  </si>
  <si>
    <t>Fixed the BKA implementation by adding Cin handling to the tree generation, considering changing my implementation to optimize for Cyclone 4 and Arria 2 and getting rid of components</t>
  </si>
  <si>
    <t>Temporarily paused the idea of changing implementation, focusing on getting the timing testbench working, functional testbench is working now</t>
  </si>
  <si>
    <t>Tentative completion of timing testbench, and scripts, fixed run issue in the FS script</t>
  </si>
  <si>
    <t>Spent time modifying the testbench again, added the status flag to the testbench, report of worst case propagation delay, organized the wave window better and converted the values to hex when necessary, improved the transcript files</t>
  </si>
  <si>
    <t>Further modification of testbench to supress delay output for functional, added extra reports for simulation results, set up github for easier collaboration</t>
  </si>
  <si>
    <t>Spent time experimenting and modifying the brent kung, tried not using components and using if statement levels to generate instead, found original still worked better</t>
  </si>
  <si>
    <t>Spent time trying to change Brent Kung to reduce fanout to see if it improved performance, but it utilized 5 times the amount of LE's decided original was better</t>
  </si>
  <si>
    <t>Split the config files up, because I realized that the work folder would delete every time and only compile the ones needed for the adder, but the config needed all the adders compiled, do I made multiple config files. Also finished some of the .do files</t>
  </si>
  <si>
    <t>Compiled all the different adders on both devices, recorded the LE/ALM usage, make the quartus output file, then renamed the vho and sdo files. Then I made the .do files for the cyclone/arria versions</t>
  </si>
  <si>
    <t>Work on the cost analysis section of the report, converted everything into $ spend in order to compare them</t>
  </si>
  <si>
    <t>Worked on the performance analysis section of the report, convering things into performance and calculating speedup, working on the scatterplot for the cost performance ratio</t>
  </si>
  <si>
    <t>Finished the cost performance analysis, revising the adder design section</t>
  </si>
  <si>
    <t>Completed the report</t>
  </si>
  <si>
    <t>Set up the project hierarchy, github repo, read through the file to see what to do</t>
  </si>
  <si>
    <t>Started on ShiftSeparate222222 which is a shifter that uses 6 2 input muxes to do the shifting, and the srl sra sll are separately implemented</t>
  </si>
  <si>
    <t>Partially completed the ShiftSeparate222222, still working on the ExtWord</t>
  </si>
  <si>
    <t>Finished with the shift implementations, just missing the part where it handles the 32 version instructions</t>
  </si>
  <si>
    <t>Spent time trying to figure out how to have multiple configurations for the exu and also the testbench whilst also having the generic parameters. Decided to create multiple architectures, in one exu vhd files.</t>
  </si>
  <si>
    <t>Started the top level exu, realized I needed to modify shift to accommodate the generic parameters, then change the naming scheme of the shifter</t>
  </si>
  <si>
    <t>Finally figured out the way to implmenet. ExU Shifter Adder all have their own generics with default values, exu will have multiple architectures and not pass in generic values. Will compile all the different vho files, then in the testbench a config file selects either different architectures or the vho version architecure, to test different N, will have to manually adjust the N value in the vhd files then recompile everything</t>
  </si>
  <si>
    <t>Reworked the shifter to take in N parameters, and also with 32 bit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</si>
</sst>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2"/>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9">
    <xf numFmtId="0" fontId="0" fillId="0" borderId="0" xfId="0"/>
    <xf numFmtId="0" fontId="2" fillId="0" borderId="0" xfId="0" applyFont="1" applyAlignment="1">
      <alignment horizontal="center" vertical="center"/>
    </xf>
    <xf numFmtId="164" fontId="0" fillId="0" borderId="0" xfId="0" applyNumberForma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3" xfId="0" applyFont="1" applyFill="1" applyBorder="1" applyAlignment="1">
      <alignment horizontal="center" vertical="center"/>
    </xf>
    <xf numFmtId="18" fontId="0" fillId="0" borderId="0" xfId="0" applyNumberFormat="1"/>
    <xf numFmtId="18" fontId="2" fillId="3" borderId="2" xfId="0" applyNumberFormat="1" applyFont="1" applyFill="1" applyBorder="1" applyAlignment="1">
      <alignment horizontal="center" vertical="center"/>
    </xf>
    <xf numFmtId="2" fontId="4" fillId="0" borderId="0" xfId="0" applyNumberFormat="1" applyFont="1" applyAlignment="1">
      <alignment vertical="center"/>
    </xf>
    <xf numFmtId="18" fontId="2" fillId="3" borderId="4" xfId="0" applyNumberFormat="1" applyFont="1" applyFill="1" applyBorder="1" applyAlignment="1">
      <alignment horizontal="center" vertical="center"/>
    </xf>
    <xf numFmtId="2" fontId="4" fillId="0" borderId="6" xfId="0" applyNumberFormat="1" applyFont="1" applyBorder="1" applyAlignment="1" applyProtection="1">
      <alignment vertical="center"/>
      <protection hidden="1"/>
    </xf>
    <xf numFmtId="165" fontId="4" fillId="4" borderId="7" xfId="0" applyNumberFormat="1" applyFont="1" applyFill="1" applyBorder="1" applyAlignment="1" applyProtection="1">
      <alignment horizontal="center" vertical="center"/>
      <protection locked="0"/>
    </xf>
    <xf numFmtId="165" fontId="4" fillId="4" borderId="11" xfId="0" applyNumberFormat="1" applyFont="1" applyFill="1" applyBorder="1" applyAlignment="1" applyProtection="1">
      <alignment horizontal="center" vertical="center"/>
      <protection locked="0"/>
    </xf>
    <xf numFmtId="165" fontId="4"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4" fillId="0" borderId="10" xfId="0" applyNumberFormat="1" applyFont="1" applyBorder="1" applyProtection="1">
      <protection hidden="1"/>
    </xf>
    <xf numFmtId="2" fontId="4" fillId="0" borderId="13" xfId="0" applyNumberFormat="1" applyFont="1" applyBorder="1" applyProtection="1">
      <protection hidden="1"/>
    </xf>
    <xf numFmtId="2" fontId="4" fillId="5" borderId="0" xfId="0" applyNumberFormat="1" applyFont="1" applyFill="1" applyProtection="1">
      <protection hidden="1"/>
    </xf>
    <xf numFmtId="2" fontId="4"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4" fillId="0" borderId="6" xfId="0" applyNumberFormat="1" applyFont="1" applyBorder="1" applyAlignment="1">
      <alignment vertical="center"/>
    </xf>
    <xf numFmtId="2" fontId="4" fillId="0" borderId="10" xfId="0" applyNumberFormat="1" applyFont="1" applyBorder="1"/>
    <xf numFmtId="2" fontId="4" fillId="0" borderId="13" xfId="0" applyNumberFormat="1" applyFont="1" applyBorder="1"/>
    <xf numFmtId="0" fontId="12" fillId="2" borderId="0" xfId="0" applyFont="1" applyFill="1" applyAlignment="1">
      <alignment horizontal="left" vertical="center"/>
    </xf>
    <xf numFmtId="0" fontId="13" fillId="2" borderId="20" xfId="0" applyFont="1" applyFill="1" applyBorder="1" applyAlignment="1">
      <alignment horizontal="left" vertical="center" wrapText="1"/>
    </xf>
    <xf numFmtId="19" fontId="0" fillId="4" borderId="8" xfId="0" applyNumberFormat="1" applyFill="1" applyBorder="1" applyAlignment="1" applyProtection="1">
      <alignment vertical="center"/>
      <protection locked="0"/>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9" fontId="8" fillId="4" borderId="16" xfId="0" applyNumberFormat="1" applyFont="1" applyFill="1" applyBorder="1" applyAlignment="1" applyProtection="1">
      <alignment horizontal="center" vertical="center"/>
      <protection locked="0"/>
    </xf>
    <xf numFmtId="0" fontId="8" fillId="4" borderId="10"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18" fontId="5" fillId="5" borderId="21" xfId="0" applyNumberFormat="1" applyFont="1" applyFill="1" applyBorder="1" applyAlignment="1">
      <alignment horizontal="center" vertical="center"/>
    </xf>
    <xf numFmtId="18" fontId="5" fillId="5" borderId="4" xfId="0" applyNumberFormat="1" applyFont="1" applyFill="1" applyBorder="1" applyAlignment="1">
      <alignment horizontal="center" vertical="center"/>
    </xf>
    <xf numFmtId="18" fontId="5" fillId="5" borderId="22" xfId="0" applyNumberFormat="1" applyFont="1" applyFill="1" applyBorder="1" applyAlignment="1">
      <alignment horizontal="center" vertical="center"/>
    </xf>
    <xf numFmtId="18" fontId="5" fillId="5" borderId="0" xfId="0" applyNumberFormat="1" applyFont="1" applyFill="1" applyAlignment="1">
      <alignment horizontal="center" vertical="center"/>
    </xf>
    <xf numFmtId="18" fontId="5" fillId="5" borderId="23" xfId="0" applyNumberFormat="1" applyFont="1" applyFill="1" applyBorder="1" applyAlignment="1">
      <alignment horizontal="center" vertical="center"/>
    </xf>
    <xf numFmtId="18" fontId="5" fillId="5" borderId="24" xfId="0" applyNumberFormat="1" applyFont="1" applyFill="1" applyBorder="1" applyAlignment="1">
      <alignment horizontal="center" vertical="center"/>
    </xf>
    <xf numFmtId="0" fontId="1" fillId="4" borderId="18"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0" fontId="4" fillId="4" borderId="16" xfId="0" applyFont="1" applyFill="1" applyBorder="1" applyAlignment="1" applyProtection="1">
      <alignment horizontal="center" vertical="center"/>
      <protection locked="0"/>
    </xf>
    <xf numFmtId="0" fontId="4" fillId="4" borderId="10"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7" fillId="4" borderId="18"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D12" sqref="D12"/>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13</v>
      </c>
      <c r="F2" s="46"/>
      <c r="G2" s="46"/>
    </row>
    <row r="3" spans="1:9" ht="25" customHeight="1" x14ac:dyDescent="0.35">
      <c r="A3" s="36" t="s">
        <v>5</v>
      </c>
      <c r="B3" s="54">
        <v>301599263</v>
      </c>
      <c r="C3" s="55"/>
      <c r="D3" s="56"/>
      <c r="E3" s="47"/>
      <c r="F3" s="48"/>
      <c r="G3" s="48"/>
    </row>
    <row r="4" spans="1:9" ht="25" customHeight="1" thickBot="1" x14ac:dyDescent="0.4">
      <c r="A4" s="36" t="s">
        <v>4</v>
      </c>
      <c r="B4" s="57" t="s">
        <v>20</v>
      </c>
      <c r="C4" s="43"/>
      <c r="D4" s="44"/>
      <c r="E4" s="47"/>
      <c r="F4" s="48"/>
      <c r="G4" s="48"/>
    </row>
    <row r="5" spans="1:9" ht="59.5" customHeight="1" thickBot="1" x14ac:dyDescent="0.4">
      <c r="A5" s="37" t="s">
        <v>11</v>
      </c>
      <c r="B5" s="42">
        <v>0.2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45935</v>
      </c>
      <c r="D7" s="19">
        <v>0.77083333333333337</v>
      </c>
      <c r="E7" s="20">
        <v>0.8125</v>
      </c>
      <c r="F7" s="33"/>
      <c r="G7" s="15" t="s">
        <v>22</v>
      </c>
      <c r="H7" s="11">
        <f t="shared" ref="H7" si="0">(E7-D7)*24</f>
        <v>0.99999999999999911</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0.99999999999999911</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D9" sqref="D9"/>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14</v>
      </c>
      <c r="F2" s="46"/>
      <c r="G2" s="46"/>
    </row>
    <row r="3" spans="1:9" ht="25" customHeight="1" x14ac:dyDescent="0.35">
      <c r="A3" s="36" t="s">
        <v>5</v>
      </c>
      <c r="B3" s="54">
        <v>301599263</v>
      </c>
      <c r="C3" s="55"/>
      <c r="D3" s="56"/>
      <c r="E3" s="47"/>
      <c r="F3" s="48"/>
      <c r="G3" s="48"/>
    </row>
    <row r="4" spans="1:9" ht="25" customHeight="1" thickBot="1" x14ac:dyDescent="0.4">
      <c r="A4" s="36" t="s">
        <v>4</v>
      </c>
      <c r="B4" s="57" t="s">
        <v>20</v>
      </c>
      <c r="C4" s="43"/>
      <c r="D4" s="44"/>
      <c r="E4" s="47"/>
      <c r="F4" s="48"/>
      <c r="G4" s="48"/>
    </row>
    <row r="5" spans="1:9" ht="59.5" customHeight="1" thickBot="1" x14ac:dyDescent="0.4">
      <c r="A5" s="37" t="s">
        <v>11</v>
      </c>
      <c r="B5" s="42">
        <v>0.3</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45939</v>
      </c>
      <c r="D7" s="38">
        <v>0.71875</v>
      </c>
      <c r="E7" s="20">
        <v>0.75694444444444442</v>
      </c>
      <c r="F7" s="33"/>
      <c r="G7" s="15" t="s">
        <v>23</v>
      </c>
      <c r="H7" s="11">
        <f t="shared" ref="H7" si="0">(E7-D7)*24</f>
        <v>0.91666666666666607</v>
      </c>
      <c r="I7" s="9"/>
    </row>
    <row r="8" spans="1:9" ht="25" customHeight="1" x14ac:dyDescent="0.45">
      <c r="A8" s="31"/>
      <c r="B8" s="13">
        <v>9263</v>
      </c>
      <c r="C8" s="21">
        <v>45939</v>
      </c>
      <c r="D8" s="19">
        <v>0.75694444444444442</v>
      </c>
      <c r="E8" s="22">
        <v>0.77777777777777779</v>
      </c>
      <c r="F8" s="34"/>
      <c r="G8" s="16" t="s">
        <v>24</v>
      </c>
      <c r="H8" s="26">
        <f>(E8-D8)*24</f>
        <v>0.50000000000000089</v>
      </c>
    </row>
    <row r="9" spans="1:9" ht="25" customHeight="1" x14ac:dyDescent="0.45">
      <c r="A9" s="31"/>
      <c r="B9" s="13">
        <v>9263</v>
      </c>
      <c r="C9" s="21">
        <v>45942</v>
      </c>
      <c r="D9" s="19">
        <v>1.6666666666666666E-2</v>
      </c>
      <c r="E9" s="22">
        <v>9.7222222222222224E-2</v>
      </c>
      <c r="F9" s="34"/>
      <c r="G9" s="16" t="s">
        <v>25</v>
      </c>
      <c r="H9" s="26">
        <f t="shared" ref="H9:H72" si="1">(E9-D9)*24</f>
        <v>1.9333333333333336</v>
      </c>
    </row>
    <row r="10" spans="1:9" ht="25" customHeight="1" x14ac:dyDescent="0.45">
      <c r="A10" s="31"/>
      <c r="B10" s="13">
        <v>9263</v>
      </c>
      <c r="C10" s="21">
        <v>45942</v>
      </c>
      <c r="D10" s="19">
        <v>0.32291666666666669</v>
      </c>
      <c r="E10" s="22">
        <v>0.40277777777777779</v>
      </c>
      <c r="F10" s="34"/>
      <c r="G10" s="16" t="s">
        <v>26</v>
      </c>
      <c r="H10" s="26">
        <f t="shared" si="1"/>
        <v>1.9166666666666665</v>
      </c>
    </row>
    <row r="11" spans="1:9" ht="25" customHeight="1" x14ac:dyDescent="0.45">
      <c r="A11" s="31"/>
      <c r="B11" s="13">
        <v>9263</v>
      </c>
      <c r="C11" s="21">
        <v>45942</v>
      </c>
      <c r="D11" s="19">
        <v>0.40625</v>
      </c>
      <c r="E11" s="22">
        <v>0.47430555555555554</v>
      </c>
      <c r="F11" s="34"/>
      <c r="G11" s="16" t="s">
        <v>27</v>
      </c>
      <c r="H11" s="26">
        <f t="shared" si="1"/>
        <v>1.6333333333333329</v>
      </c>
    </row>
    <row r="12" spans="1:9" ht="25" customHeight="1" x14ac:dyDescent="0.45">
      <c r="A12" s="31"/>
      <c r="B12" s="13">
        <v>9263</v>
      </c>
      <c r="C12" s="21">
        <v>45942</v>
      </c>
      <c r="D12" s="19">
        <v>0.52083333333333337</v>
      </c>
      <c r="E12" s="22">
        <v>0.5625</v>
      </c>
      <c r="F12" s="34"/>
      <c r="G12" s="16" t="s">
        <v>28</v>
      </c>
      <c r="H12" s="26">
        <f t="shared" si="1"/>
        <v>0.99999999999999911</v>
      </c>
    </row>
    <row r="13" spans="1:9" ht="25" customHeight="1" x14ac:dyDescent="0.45">
      <c r="A13" s="31"/>
      <c r="B13" s="13">
        <v>9263</v>
      </c>
      <c r="C13" s="21">
        <v>45942</v>
      </c>
      <c r="D13" s="19">
        <v>0.625</v>
      </c>
      <c r="E13" s="22">
        <v>0.6875</v>
      </c>
      <c r="F13" s="34"/>
      <c r="G13" s="16" t="s">
        <v>29</v>
      </c>
      <c r="H13" s="26">
        <f t="shared" si="1"/>
        <v>1.5</v>
      </c>
    </row>
    <row r="14" spans="1:9" ht="25" customHeight="1" x14ac:dyDescent="0.45">
      <c r="A14" s="31"/>
      <c r="B14" s="13">
        <v>9263</v>
      </c>
      <c r="C14" s="21">
        <v>45942</v>
      </c>
      <c r="D14" s="19">
        <v>0.6875</v>
      </c>
      <c r="E14" s="22">
        <v>0.75347222222222221</v>
      </c>
      <c r="F14" s="34"/>
      <c r="G14" s="16" t="s">
        <v>30</v>
      </c>
      <c r="H14" s="26">
        <f t="shared" si="1"/>
        <v>1.583333333333333</v>
      </c>
    </row>
    <row r="15" spans="1:9" ht="25" customHeight="1" x14ac:dyDescent="0.45">
      <c r="A15" s="31"/>
      <c r="B15" s="13">
        <v>9263</v>
      </c>
      <c r="C15" s="21">
        <v>45942</v>
      </c>
      <c r="D15" s="19">
        <v>0.77083333333333337</v>
      </c>
      <c r="E15" s="22">
        <v>0.81944444444444442</v>
      </c>
      <c r="F15" s="34"/>
      <c r="G15" s="16" t="s">
        <v>31</v>
      </c>
      <c r="H15" s="26">
        <f t="shared" si="1"/>
        <v>1.1666666666666652</v>
      </c>
    </row>
    <row r="16" spans="1:9" ht="25" customHeight="1" x14ac:dyDescent="0.45">
      <c r="A16" s="31"/>
      <c r="B16" s="13">
        <v>9263</v>
      </c>
      <c r="C16" s="21">
        <v>45942</v>
      </c>
      <c r="D16" s="19">
        <v>0.81944444444444442</v>
      </c>
      <c r="E16" s="22">
        <v>0.86527777777777781</v>
      </c>
      <c r="F16" s="34"/>
      <c r="G16" s="16" t="s">
        <v>32</v>
      </c>
      <c r="H16" s="26">
        <f t="shared" si="1"/>
        <v>1.1000000000000014</v>
      </c>
    </row>
    <row r="17" spans="1:8" ht="25" customHeight="1" x14ac:dyDescent="0.45">
      <c r="A17" s="31"/>
      <c r="B17" s="13">
        <v>9263</v>
      </c>
      <c r="C17" s="21">
        <v>45942</v>
      </c>
      <c r="D17" s="19">
        <v>0.91666666666666663</v>
      </c>
      <c r="E17" s="22">
        <v>0.98958333333333337</v>
      </c>
      <c r="F17" s="34"/>
      <c r="G17" s="16" t="s">
        <v>33</v>
      </c>
      <c r="H17" s="26">
        <f t="shared" si="1"/>
        <v>1.7500000000000018</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14.999999999999998</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D19" sqref="D19"/>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8"/>
      <c r="C2" s="52"/>
      <c r="D2" s="53"/>
      <c r="E2" s="45" t="s">
        <v>15</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topLeftCell="E1" zoomScale="85" zoomScaleNormal="85" workbookViewId="0">
      <selection activeCell="G7" sqref="G7"/>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8"/>
      <c r="C2" s="52"/>
      <c r="D2" s="53"/>
      <c r="E2" s="45" t="s">
        <v>16</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topLeftCell="A6" zoomScale="85" zoomScaleNormal="85" workbookViewId="0">
      <selection activeCell="C23" sqref="C23:C24"/>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17</v>
      </c>
      <c r="F2" s="46"/>
      <c r="G2" s="46"/>
    </row>
    <row r="3" spans="1:9" ht="25" customHeight="1" x14ac:dyDescent="0.35">
      <c r="A3" s="36" t="s">
        <v>5</v>
      </c>
      <c r="B3" s="54">
        <v>301599263</v>
      </c>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45963</v>
      </c>
      <c r="D7" s="19">
        <v>0</v>
      </c>
      <c r="E7" s="20">
        <v>4.8611111111111112E-2</v>
      </c>
      <c r="F7" s="33"/>
      <c r="G7" s="15" t="s">
        <v>34</v>
      </c>
      <c r="H7" s="11">
        <f t="shared" ref="H7" si="0">(E7-D7)*24</f>
        <v>1.1666666666666667</v>
      </c>
      <c r="I7" s="9"/>
    </row>
    <row r="8" spans="1:9" ht="25" customHeight="1" x14ac:dyDescent="0.45">
      <c r="A8" s="31"/>
      <c r="B8" s="13">
        <v>9263</v>
      </c>
      <c r="C8" s="21">
        <v>45963</v>
      </c>
      <c r="D8" s="19">
        <v>4.8611111111111112E-2</v>
      </c>
      <c r="E8" s="22">
        <v>7.0833333333333331E-2</v>
      </c>
      <c r="F8" s="34"/>
      <c r="G8" s="16" t="s">
        <v>35</v>
      </c>
      <c r="H8" s="26">
        <f>(E8-D8)*24</f>
        <v>0.53333333333333321</v>
      </c>
    </row>
    <row r="9" spans="1:9" ht="25" customHeight="1" x14ac:dyDescent="0.45">
      <c r="A9" s="31"/>
      <c r="B9" s="13">
        <v>9263</v>
      </c>
      <c r="C9" s="21">
        <v>45972</v>
      </c>
      <c r="D9" s="19">
        <v>0.52083333333333337</v>
      </c>
      <c r="E9" s="22">
        <v>0.5625</v>
      </c>
      <c r="F9" s="34"/>
      <c r="G9" s="16" t="s">
        <v>36</v>
      </c>
      <c r="H9" s="26">
        <f t="shared" ref="H9:H72" si="1">(E9-D9)*24</f>
        <v>0.99999999999999911</v>
      </c>
    </row>
    <row r="10" spans="1:9" ht="25" customHeight="1" x14ac:dyDescent="0.45">
      <c r="A10" s="31"/>
      <c r="B10" s="13">
        <v>9263</v>
      </c>
      <c r="C10" s="21">
        <v>45972</v>
      </c>
      <c r="D10" s="19">
        <v>0.5625</v>
      </c>
      <c r="E10" s="22">
        <v>0.625</v>
      </c>
      <c r="F10" s="34"/>
      <c r="G10" s="16" t="s">
        <v>37</v>
      </c>
      <c r="H10" s="26">
        <f t="shared" si="1"/>
        <v>1.5</v>
      </c>
    </row>
    <row r="11" spans="1:9" ht="25" customHeight="1" x14ac:dyDescent="0.45">
      <c r="A11" s="31"/>
      <c r="B11" s="13">
        <v>9263</v>
      </c>
      <c r="C11" s="21">
        <v>45973</v>
      </c>
      <c r="D11" s="19">
        <v>0.6875</v>
      </c>
      <c r="E11" s="22">
        <v>0.74305555555555558</v>
      </c>
      <c r="F11" s="34"/>
      <c r="G11" s="16" t="s">
        <v>38</v>
      </c>
      <c r="H11" s="26">
        <f t="shared" si="1"/>
        <v>1.3333333333333339</v>
      </c>
    </row>
    <row r="12" spans="1:9" ht="25" customHeight="1" x14ac:dyDescent="0.45">
      <c r="A12" s="31"/>
      <c r="B12" s="13">
        <v>9263</v>
      </c>
      <c r="C12" s="21">
        <v>45973</v>
      </c>
      <c r="D12" s="19">
        <v>0.875</v>
      </c>
      <c r="E12" s="22">
        <v>0.90625</v>
      </c>
      <c r="F12" s="34"/>
      <c r="G12" s="16" t="s">
        <v>39</v>
      </c>
      <c r="H12" s="26">
        <f t="shared" si="1"/>
        <v>0.75</v>
      </c>
    </row>
    <row r="13" spans="1:9" ht="25" customHeight="1" x14ac:dyDescent="0.45">
      <c r="A13" s="31"/>
      <c r="B13" s="13">
        <v>9263</v>
      </c>
      <c r="C13" s="21">
        <v>45973</v>
      </c>
      <c r="D13" s="19">
        <v>0.90625</v>
      </c>
      <c r="E13" s="22">
        <v>0.94444444444444442</v>
      </c>
      <c r="F13" s="34"/>
      <c r="G13" s="16" t="s">
        <v>40</v>
      </c>
      <c r="H13" s="26">
        <f t="shared" si="1"/>
        <v>0.91666666666666607</v>
      </c>
    </row>
    <row r="14" spans="1:9" ht="25" customHeight="1" x14ac:dyDescent="0.45">
      <c r="A14" s="31"/>
      <c r="B14" s="13">
        <v>9263</v>
      </c>
      <c r="C14" s="21">
        <v>45973</v>
      </c>
      <c r="D14" s="19">
        <v>0.94444444444444442</v>
      </c>
      <c r="E14" s="22">
        <v>0.97222222222222221</v>
      </c>
      <c r="F14" s="34"/>
      <c r="G14" s="16" t="s">
        <v>41</v>
      </c>
      <c r="H14" s="26">
        <f t="shared" si="1"/>
        <v>0.66666666666666696</v>
      </c>
    </row>
    <row r="15" spans="1:9" ht="25" customHeight="1" x14ac:dyDescent="0.45">
      <c r="A15" s="31"/>
      <c r="B15" s="13">
        <v>9263</v>
      </c>
      <c r="C15" s="21">
        <v>45976</v>
      </c>
      <c r="D15" s="19">
        <v>0.45833333333333331</v>
      </c>
      <c r="E15" s="22">
        <v>0.53125</v>
      </c>
      <c r="F15" s="34"/>
      <c r="G15" s="16" t="s">
        <v>42</v>
      </c>
      <c r="H15" s="26">
        <f t="shared" si="1"/>
        <v>1.7500000000000004</v>
      </c>
    </row>
    <row r="16" spans="1:9" ht="25" customHeight="1" x14ac:dyDescent="0.45">
      <c r="A16" s="31"/>
      <c r="B16" s="13">
        <v>9263</v>
      </c>
      <c r="C16" s="21">
        <v>45976</v>
      </c>
      <c r="D16" s="19">
        <v>0.53125</v>
      </c>
      <c r="E16" s="22">
        <v>0.58333333333333337</v>
      </c>
      <c r="F16" s="34"/>
      <c r="G16" s="16" t="s">
        <v>43</v>
      </c>
      <c r="H16" s="26">
        <f t="shared" si="1"/>
        <v>1.2500000000000009</v>
      </c>
    </row>
    <row r="17" spans="1:8" ht="25" customHeight="1" x14ac:dyDescent="0.45">
      <c r="A17" s="31"/>
      <c r="B17" s="13">
        <v>9263</v>
      </c>
      <c r="C17" s="21">
        <v>45976</v>
      </c>
      <c r="D17" s="19">
        <v>0.70833333333333337</v>
      </c>
      <c r="E17" s="22">
        <v>0.79166666666666663</v>
      </c>
      <c r="F17" s="34"/>
      <c r="G17" s="16" t="s">
        <v>44</v>
      </c>
      <c r="H17" s="26">
        <f t="shared" si="1"/>
        <v>1.9999999999999982</v>
      </c>
    </row>
    <row r="18" spans="1:8" ht="25" customHeight="1" x14ac:dyDescent="0.45">
      <c r="A18" s="31"/>
      <c r="B18" s="13">
        <v>9263</v>
      </c>
      <c r="C18" s="21">
        <v>45976</v>
      </c>
      <c r="D18" s="19">
        <v>0.8125</v>
      </c>
      <c r="E18" s="22">
        <v>0.875</v>
      </c>
      <c r="F18" s="34"/>
      <c r="G18" s="16" t="s">
        <v>45</v>
      </c>
      <c r="H18" s="26">
        <f t="shared" si="1"/>
        <v>1.5</v>
      </c>
    </row>
    <row r="19" spans="1:8" ht="25" customHeight="1" x14ac:dyDescent="0.45">
      <c r="A19" s="31"/>
      <c r="B19" s="13">
        <v>9263</v>
      </c>
      <c r="C19" s="21">
        <v>45977</v>
      </c>
      <c r="D19" s="19">
        <v>0.5</v>
      </c>
      <c r="E19" s="22">
        <v>0.5625</v>
      </c>
      <c r="F19" s="34"/>
      <c r="G19" s="16" t="s">
        <v>46</v>
      </c>
      <c r="H19" s="26">
        <f t="shared" si="1"/>
        <v>1.5</v>
      </c>
    </row>
    <row r="20" spans="1:8" ht="25" customHeight="1" x14ac:dyDescent="0.45">
      <c r="A20" s="31"/>
      <c r="B20" s="13">
        <v>9263</v>
      </c>
      <c r="C20" s="21">
        <v>45978</v>
      </c>
      <c r="D20" s="19">
        <v>0.5625</v>
      </c>
      <c r="E20" s="22">
        <v>0.625</v>
      </c>
      <c r="F20" s="34"/>
      <c r="G20" s="16" t="s">
        <v>47</v>
      </c>
      <c r="H20" s="26">
        <f t="shared" si="1"/>
        <v>1.5</v>
      </c>
    </row>
    <row r="21" spans="1:8" ht="25" customHeight="1" x14ac:dyDescent="0.45">
      <c r="A21" s="31"/>
      <c r="B21" s="13">
        <v>9263</v>
      </c>
      <c r="C21" s="21">
        <v>45979</v>
      </c>
      <c r="D21" s="19">
        <v>0.75</v>
      </c>
      <c r="E21" s="22">
        <v>0.8125</v>
      </c>
      <c r="F21" s="34"/>
      <c r="G21" s="16" t="s">
        <v>48</v>
      </c>
      <c r="H21" s="26">
        <f t="shared" si="1"/>
        <v>1.5</v>
      </c>
    </row>
    <row r="22" spans="1:8" ht="25" customHeight="1" x14ac:dyDescent="0.45">
      <c r="A22" s="31"/>
      <c r="B22" s="13">
        <v>9263</v>
      </c>
      <c r="C22" s="21">
        <v>45980</v>
      </c>
      <c r="D22" s="19">
        <v>0.8125</v>
      </c>
      <c r="E22" s="22">
        <v>0.875</v>
      </c>
      <c r="F22" s="34"/>
      <c r="G22" s="16" t="s">
        <v>49</v>
      </c>
      <c r="H22" s="26">
        <f t="shared" si="1"/>
        <v>1.5</v>
      </c>
    </row>
    <row r="23" spans="1:8" ht="25" customHeight="1" x14ac:dyDescent="0.45">
      <c r="A23" s="31"/>
      <c r="B23" s="13">
        <v>9263</v>
      </c>
      <c r="C23" s="21">
        <v>45981</v>
      </c>
      <c r="D23" s="19">
        <v>0.875</v>
      </c>
      <c r="E23" s="22">
        <v>0.9375</v>
      </c>
      <c r="F23" s="34"/>
      <c r="G23" s="16" t="s">
        <v>50</v>
      </c>
      <c r="H23" s="26">
        <f t="shared" si="1"/>
        <v>1.5</v>
      </c>
    </row>
    <row r="24" spans="1:8" ht="25" customHeight="1" x14ac:dyDescent="0.45">
      <c r="A24" s="31"/>
      <c r="B24" s="13">
        <v>9263</v>
      </c>
      <c r="C24" s="21">
        <v>45982</v>
      </c>
      <c r="D24" s="19">
        <v>0.9375</v>
      </c>
      <c r="E24" s="22">
        <v>0.99305555555555558</v>
      </c>
      <c r="F24" s="34"/>
      <c r="G24" s="16" t="s">
        <v>51</v>
      </c>
      <c r="H24" s="26">
        <f t="shared" si="1"/>
        <v>1.3333333333333339</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23.200000000000003</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tabSelected="1" zoomScale="85" zoomScaleNormal="85" workbookViewId="0">
      <selection activeCell="G14" sqref="G14"/>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18</v>
      </c>
      <c r="F2" s="46"/>
      <c r="G2" s="46"/>
    </row>
    <row r="3" spans="1:9" ht="25" customHeight="1" x14ac:dyDescent="0.35">
      <c r="A3" s="36" t="s">
        <v>5</v>
      </c>
      <c r="B3" s="54">
        <v>301599263</v>
      </c>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45989</v>
      </c>
      <c r="D7" s="19">
        <v>0.54166666666666663</v>
      </c>
      <c r="E7" s="20">
        <v>0.5625</v>
      </c>
      <c r="F7" s="33"/>
      <c r="G7" s="15" t="s">
        <v>52</v>
      </c>
      <c r="H7" s="11">
        <f t="shared" ref="H7" si="0">(E7-D7)*24</f>
        <v>0.50000000000000089</v>
      </c>
      <c r="I7" s="9"/>
    </row>
    <row r="8" spans="1:9" ht="25" customHeight="1" x14ac:dyDescent="0.45">
      <c r="A8" s="31"/>
      <c r="B8" s="13">
        <v>9263</v>
      </c>
      <c r="C8" s="21">
        <v>45989</v>
      </c>
      <c r="D8" s="19">
        <v>0.5625</v>
      </c>
      <c r="E8" s="22">
        <v>0.60416666666666663</v>
      </c>
      <c r="F8" s="34"/>
      <c r="G8" s="16" t="s">
        <v>53</v>
      </c>
      <c r="H8" s="26">
        <f>(E8-D8)*24</f>
        <v>0.99999999999999911</v>
      </c>
    </row>
    <row r="9" spans="1:9" ht="25" customHeight="1" x14ac:dyDescent="0.45">
      <c r="A9" s="31"/>
      <c r="B9" s="13">
        <v>9263</v>
      </c>
      <c r="C9" s="21">
        <v>45989</v>
      </c>
      <c r="D9" s="19">
        <v>0.60416666666666663</v>
      </c>
      <c r="E9" s="22">
        <v>0.64583333333333337</v>
      </c>
      <c r="F9" s="34"/>
      <c r="G9" s="16" t="s">
        <v>54</v>
      </c>
      <c r="H9" s="26">
        <f t="shared" ref="H9:H72" si="1">(E9-D9)*24</f>
        <v>1.0000000000000018</v>
      </c>
    </row>
    <row r="10" spans="1:9" ht="25" customHeight="1" x14ac:dyDescent="0.45">
      <c r="A10" s="31"/>
      <c r="B10" s="13">
        <v>9263</v>
      </c>
      <c r="C10" s="21">
        <v>45990</v>
      </c>
      <c r="D10" s="19">
        <v>0.54166666666666663</v>
      </c>
      <c r="E10" s="22">
        <v>0.58333333333333337</v>
      </c>
      <c r="F10" s="34"/>
      <c r="G10" s="16" t="s">
        <v>55</v>
      </c>
      <c r="H10" s="26">
        <f t="shared" si="1"/>
        <v>1.0000000000000018</v>
      </c>
    </row>
    <row r="11" spans="1:9" ht="25" customHeight="1" x14ac:dyDescent="0.45">
      <c r="A11" s="31"/>
      <c r="B11" s="13">
        <v>9263</v>
      </c>
      <c r="C11" s="21"/>
      <c r="D11" s="19">
        <v>0.58333333333333337</v>
      </c>
      <c r="E11" s="22">
        <v>0.625</v>
      </c>
      <c r="F11" s="34"/>
      <c r="G11" s="16" t="s">
        <v>56</v>
      </c>
      <c r="H11" s="26">
        <f t="shared" si="1"/>
        <v>0.99999999999999911</v>
      </c>
    </row>
    <row r="12" spans="1:9" ht="25" customHeight="1" x14ac:dyDescent="0.45">
      <c r="A12" s="31"/>
      <c r="B12" s="13">
        <v>9263</v>
      </c>
      <c r="C12" s="21"/>
      <c r="D12" s="19">
        <v>0.625</v>
      </c>
      <c r="E12" s="22">
        <v>0.6875</v>
      </c>
      <c r="F12" s="34"/>
      <c r="G12" s="16" t="s">
        <v>57</v>
      </c>
      <c r="H12" s="26">
        <f t="shared" si="1"/>
        <v>1.5</v>
      </c>
    </row>
    <row r="13" spans="1:9" ht="25" customHeight="1" x14ac:dyDescent="0.45">
      <c r="A13" s="31"/>
      <c r="B13" s="13">
        <v>9263</v>
      </c>
      <c r="C13" s="21"/>
      <c r="D13" s="19">
        <v>0.70833333333333337</v>
      </c>
      <c r="E13" s="22">
        <v>0.75</v>
      </c>
      <c r="F13" s="34"/>
      <c r="G13" s="16" t="s">
        <v>58</v>
      </c>
      <c r="H13" s="26">
        <f t="shared" si="1"/>
        <v>0.99999999999999911</v>
      </c>
    </row>
    <row r="14" spans="1:9" ht="25" customHeight="1" x14ac:dyDescent="0.45">
      <c r="A14" s="31"/>
      <c r="B14" s="13">
        <v>9263</v>
      </c>
      <c r="C14" s="21"/>
      <c r="D14" s="19">
        <v>0.75</v>
      </c>
      <c r="E14" s="22">
        <v>0.79166666666666663</v>
      </c>
      <c r="F14" s="34"/>
      <c r="G14" s="16" t="s">
        <v>59</v>
      </c>
      <c r="H14" s="26">
        <f t="shared" si="1"/>
        <v>0.99999999999999911</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8</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Taylor Zhou</cp:lastModifiedBy>
  <dcterms:created xsi:type="dcterms:W3CDTF">2020-03-26T16:58:46Z</dcterms:created>
  <dcterms:modified xsi:type="dcterms:W3CDTF">2025-11-30T04:09:34Z</dcterms:modified>
</cp:coreProperties>
</file>