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FP\Documentation\"/>
    </mc:Choice>
  </mc:AlternateContent>
  <xr:revisionPtr revIDLastSave="0" documentId="13_ncr:1_{D0AAAE42-EC5F-4B8D-9AE0-A4C533C367CD}"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5"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1" l="1"/>
  <c r="H80" i="10"/>
  <c r="H80" i="9"/>
  <c r="H80" i="7"/>
  <c r="H80" i="6"/>
  <c r="H80" i="5"/>
</calcChain>
</file>

<file path=xl/sharedStrings.xml><?xml version="1.0" encoding="utf-8"?>
<sst xmlns="http://schemas.openxmlformats.org/spreadsheetml/2006/main" count="140" uniqueCount="64">
  <si>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</si>
  <si>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</si>
  <si>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</si>
  <si>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</si>
  <si>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</si>
  <si>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</si>
  <si>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</si>
  <si>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</si>
  <si>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</si>
  <si>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</si>
  <si>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</si>
  <si>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</si>
  <si>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</si>
  <si>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</si>
  <si>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</si>
  <si>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</si>
  <si>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</si>
  <si>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</si>
  <si>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</si>
  <si>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</si>
  <si>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</si>
  <si>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</si>
  <si>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</si>
  <si>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</si>
  <si>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</si>
  <si>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</si>
  <si>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</si>
  <si>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</si>
  <si>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</si>
  <si>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</si>
  <si>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</si>
  <si>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</si>
  <si>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</si>
  <si>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</si>
  <si>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</si>
  <si>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</si>
  <si>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</si>
  <si>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</si>
  <si>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</si>
  <si>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</si>
  <si>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</si>
  <si>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</si>
  <si>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</si>
  <si>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</si>
  <si>
    <t>Spent time experimenting and modifying the brent kung, tried not using components and using if statement levels to generate instead, found original still worked better</t>
  </si>
  <si>
    <t>Spent time trying to change Brent Kung to reduce fanout to see if it improved performance, but it utilized 5 times the amount of LE's decided original was better</t>
  </si>
  <si>
    <t>Split the config files up, because I realized that the work folder would delete every time and only compile the ones needed for the adder, but the config needed all the adders compiled, do I made multiple config files. Also finished some of the .do files</t>
  </si>
  <si>
    <t>Compiled all the different adders on both devices, recorded the LE/ALM usage, make the quartus output file, then renamed the vho and sdo files. Then I made the .do files for the cyclone/arria versions</t>
  </si>
  <si>
    <t>Work on the cost analysis section of the report, converted everything into $ spend in order to compare them</t>
  </si>
  <si>
    <t>Worked on the performance analysis section of the report, convering things into performance and calculating speedup, working on the scatterplot for the cost performance ratio</t>
  </si>
  <si>
    <t>Finished the cost performance analysis, revising the adder design section</t>
  </si>
  <si>
    <t>Completed the report</t>
  </si>
  <si>
    <t>Set up the project hierarchy, github repo, read through the file to see what to do</t>
  </si>
  <si>
    <t>Started on ShiftSeparate222222 which is a shifter that uses 6 2 input muxes to do the shifting, and the srl sra sll are separately implemented</t>
  </si>
  <si>
    <t>Partially completed the ShiftSeparate222222, still working on the ExtWord</t>
  </si>
  <si>
    <t>Finished with the shift implementations, just missing the part where it handles the 32 version instructions</t>
  </si>
  <si>
    <t>Spent time trying to figure out how to have multiple configurations for the exu and also the testbench whilst also having the generic parameters. Decided to create multiple architectures, in one exu vhd files.</t>
  </si>
  <si>
    <t>Started the top level exu, realized I needed to modify shift to accommodate the generic parameters, then change the naming scheme of the shifter</t>
  </si>
  <si>
    <t>Finally figured out the way to implmenet. ExU Shifter Adder all have their own generics with default values, exu will have multiple architectures and not pass in generic values. Will compile all the different vho files, then in the testbench a config file selects either different architectures or the vho version architecure, to test different N, will have to manually adjust the N value in the vhd files then recompile everything</t>
  </si>
  <si>
    <t>Reworked the shifter to take in N parameters, and also with 32 bit instructions</t>
  </si>
  <si>
    <t>Fixed some conflicts in the adder and the exu</t>
  </si>
  <si>
    <t>Spent some time trying resolve issues with the flags, edited parts of the testbench, realized that the 32 instructions don’t need proper flags, then reverted th changes with the flag, still trying to figure out whats wrong with the flags</t>
  </si>
  <si>
    <t>9:55PM</t>
  </si>
  <si>
    <t>The flags are still not working, suspecting that its an issue with the test vectors not setting addnsub to 1 for slt and sltu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</si>
</sst>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opLeftCell="A6" zoomScale="85" zoomScaleNormal="85" workbookViewId="0">
      <selection activeCell="C23" sqref="C23:C24"/>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v>9263</v>
      </c>
      <c r="C17" s="21">
        <v>45976</v>
      </c>
      <c r="D17" s="19">
        <v>0.70833333333333337</v>
      </c>
      <c r="E17" s="22">
        <v>0.79166666666666663</v>
      </c>
      <c r="F17" s="34"/>
      <c r="G17" s="16" t="s">
        <v>44</v>
      </c>
      <c r="H17" s="26">
        <f t="shared" si="1"/>
        <v>1.9999999999999982</v>
      </c>
    </row>
    <row r="18" spans="1:8" ht="25" customHeight="1" x14ac:dyDescent="0.45">
      <c r="A18" s="31"/>
      <c r="B18" s="13">
        <v>9263</v>
      </c>
      <c r="C18" s="21">
        <v>45976</v>
      </c>
      <c r="D18" s="19">
        <v>0.8125</v>
      </c>
      <c r="E18" s="22">
        <v>0.875</v>
      </c>
      <c r="F18" s="34"/>
      <c r="G18" s="16" t="s">
        <v>45</v>
      </c>
      <c r="H18" s="26">
        <f t="shared" si="1"/>
        <v>1.5</v>
      </c>
    </row>
    <row r="19" spans="1:8" ht="25" customHeight="1" x14ac:dyDescent="0.45">
      <c r="A19" s="31"/>
      <c r="B19" s="13">
        <v>9263</v>
      </c>
      <c r="C19" s="21">
        <v>45977</v>
      </c>
      <c r="D19" s="19">
        <v>0.5</v>
      </c>
      <c r="E19" s="22">
        <v>0.5625</v>
      </c>
      <c r="F19" s="34"/>
      <c r="G19" s="16" t="s">
        <v>46</v>
      </c>
      <c r="H19" s="26">
        <f t="shared" si="1"/>
        <v>1.5</v>
      </c>
    </row>
    <row r="20" spans="1:8" ht="25" customHeight="1" x14ac:dyDescent="0.45">
      <c r="A20" s="31"/>
      <c r="B20" s="13">
        <v>9263</v>
      </c>
      <c r="C20" s="21">
        <v>45978</v>
      </c>
      <c r="D20" s="19">
        <v>0.5625</v>
      </c>
      <c r="E20" s="22">
        <v>0.625</v>
      </c>
      <c r="F20" s="34"/>
      <c r="G20" s="16" t="s">
        <v>47</v>
      </c>
      <c r="H20" s="26">
        <f t="shared" si="1"/>
        <v>1.5</v>
      </c>
    </row>
    <row r="21" spans="1:8" ht="25" customHeight="1" x14ac:dyDescent="0.45">
      <c r="A21" s="31"/>
      <c r="B21" s="13">
        <v>9263</v>
      </c>
      <c r="C21" s="21">
        <v>45979</v>
      </c>
      <c r="D21" s="19">
        <v>0.75</v>
      </c>
      <c r="E21" s="22">
        <v>0.8125</v>
      </c>
      <c r="F21" s="34"/>
      <c r="G21" s="16" t="s">
        <v>48</v>
      </c>
      <c r="H21" s="26">
        <f t="shared" si="1"/>
        <v>1.5</v>
      </c>
    </row>
    <row r="22" spans="1:8" ht="25" customHeight="1" x14ac:dyDescent="0.45">
      <c r="A22" s="31"/>
      <c r="B22" s="13">
        <v>9263</v>
      </c>
      <c r="C22" s="21">
        <v>45980</v>
      </c>
      <c r="D22" s="19">
        <v>0.8125</v>
      </c>
      <c r="E22" s="22">
        <v>0.875</v>
      </c>
      <c r="F22" s="34"/>
      <c r="G22" s="16" t="s">
        <v>49</v>
      </c>
      <c r="H22" s="26">
        <f t="shared" si="1"/>
        <v>1.5</v>
      </c>
    </row>
    <row r="23" spans="1:8" ht="25" customHeight="1" x14ac:dyDescent="0.45">
      <c r="A23" s="31"/>
      <c r="B23" s="13">
        <v>9263</v>
      </c>
      <c r="C23" s="21">
        <v>45981</v>
      </c>
      <c r="D23" s="19">
        <v>0.875</v>
      </c>
      <c r="E23" s="22">
        <v>0.9375</v>
      </c>
      <c r="F23" s="34"/>
      <c r="G23" s="16" t="s">
        <v>50</v>
      </c>
      <c r="H23" s="26">
        <f t="shared" si="1"/>
        <v>1.5</v>
      </c>
    </row>
    <row r="24" spans="1:8" ht="25" customHeight="1" x14ac:dyDescent="0.45">
      <c r="A24" s="31"/>
      <c r="B24" s="13">
        <v>9263</v>
      </c>
      <c r="C24" s="21">
        <v>45982</v>
      </c>
      <c r="D24" s="19">
        <v>0.9375</v>
      </c>
      <c r="E24" s="22">
        <v>0.99305555555555558</v>
      </c>
      <c r="F24" s="34"/>
      <c r="G24" s="16" t="s">
        <v>51</v>
      </c>
      <c r="H24" s="26">
        <f t="shared" si="1"/>
        <v>1.3333333333333339</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23.200000000000003</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tabSelected="1" topLeftCell="E1" zoomScale="85" zoomScaleNormal="85" workbookViewId="0">
      <selection activeCell="G18" sqref="G18"/>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18</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45989</v>
      </c>
      <c r="D7" s="19">
        <v>0.54166666666666663</v>
      </c>
      <c r="E7" s="20">
        <v>0.5625</v>
      </c>
      <c r="F7" s="33"/>
      <c r="G7" s="15" t="s">
        <v>52</v>
      </c>
      <c r="H7" s="11">
        <f t="shared" ref="H7" si="0">(E7-D7)*24</f>
        <v>0.50000000000000089</v>
      </c>
      <c r="I7" s="9"/>
    </row>
    <row r="8" spans="1:9" ht="25" customHeight="1" x14ac:dyDescent="0.45">
      <c r="A8" s="31"/>
      <c r="B8" s="13">
        <v>9263</v>
      </c>
      <c r="C8" s="21">
        <v>45989</v>
      </c>
      <c r="D8" s="19">
        <v>0.5625</v>
      </c>
      <c r="E8" s="22">
        <v>0.60416666666666663</v>
      </c>
      <c r="F8" s="34"/>
      <c r="G8" s="16" t="s">
        <v>53</v>
      </c>
      <c r="H8" s="26">
        <f>(E8-D8)*24</f>
        <v>0.99999999999999911</v>
      </c>
    </row>
    <row r="9" spans="1:9" ht="25" customHeight="1" x14ac:dyDescent="0.45">
      <c r="A9" s="31"/>
      <c r="B9" s="13">
        <v>9263</v>
      </c>
      <c r="C9" s="21">
        <v>45989</v>
      </c>
      <c r="D9" s="19">
        <v>0.60416666666666663</v>
      </c>
      <c r="E9" s="22">
        <v>0.64583333333333337</v>
      </c>
      <c r="F9" s="34"/>
      <c r="G9" s="16" t="s">
        <v>54</v>
      </c>
      <c r="H9" s="26">
        <f t="shared" ref="H9:H72" si="1">(E9-D9)*24</f>
        <v>1.0000000000000018</v>
      </c>
    </row>
    <row r="10" spans="1:9" ht="25" customHeight="1" x14ac:dyDescent="0.45">
      <c r="A10" s="31"/>
      <c r="B10" s="13">
        <v>9263</v>
      </c>
      <c r="C10" s="21">
        <v>45990</v>
      </c>
      <c r="D10" s="19">
        <v>0.54166666666666663</v>
      </c>
      <c r="E10" s="22">
        <v>0.58333333333333337</v>
      </c>
      <c r="F10" s="34"/>
      <c r="G10" s="16" t="s">
        <v>55</v>
      </c>
      <c r="H10" s="26">
        <f t="shared" si="1"/>
        <v>1.0000000000000018</v>
      </c>
    </row>
    <row r="11" spans="1:9" ht="25" customHeight="1" x14ac:dyDescent="0.45">
      <c r="A11" s="31"/>
      <c r="B11" s="13">
        <v>9263</v>
      </c>
      <c r="C11" s="21"/>
      <c r="D11" s="19">
        <v>0.58333333333333337</v>
      </c>
      <c r="E11" s="22">
        <v>0.625</v>
      </c>
      <c r="F11" s="34"/>
      <c r="G11" s="16" t="s">
        <v>56</v>
      </c>
      <c r="H11" s="26">
        <f t="shared" si="1"/>
        <v>0.99999999999999911</v>
      </c>
    </row>
    <row r="12" spans="1:9" ht="25" customHeight="1" x14ac:dyDescent="0.45">
      <c r="A12" s="31"/>
      <c r="B12" s="13">
        <v>9263</v>
      </c>
      <c r="C12" s="21"/>
      <c r="D12" s="19">
        <v>0.625</v>
      </c>
      <c r="E12" s="22">
        <v>0.6875</v>
      </c>
      <c r="F12" s="34"/>
      <c r="G12" s="16" t="s">
        <v>57</v>
      </c>
      <c r="H12" s="26">
        <f t="shared" si="1"/>
        <v>1.5</v>
      </c>
    </row>
    <row r="13" spans="1:9" ht="25" customHeight="1" x14ac:dyDescent="0.45">
      <c r="A13" s="31"/>
      <c r="B13" s="13">
        <v>9263</v>
      </c>
      <c r="C13" s="21"/>
      <c r="D13" s="19">
        <v>0.70833333333333337</v>
      </c>
      <c r="E13" s="22">
        <v>0.75</v>
      </c>
      <c r="F13" s="34"/>
      <c r="G13" s="16" t="s">
        <v>58</v>
      </c>
      <c r="H13" s="26">
        <f t="shared" si="1"/>
        <v>0.99999999999999911</v>
      </c>
    </row>
    <row r="14" spans="1:9" ht="25" customHeight="1" x14ac:dyDescent="0.45">
      <c r="A14" s="31"/>
      <c r="B14" s="13">
        <v>9263</v>
      </c>
      <c r="C14" s="21"/>
      <c r="D14" s="19">
        <v>0.75</v>
      </c>
      <c r="E14" s="22">
        <v>0.79166666666666663</v>
      </c>
      <c r="F14" s="34"/>
      <c r="G14" s="16" t="s">
        <v>59</v>
      </c>
      <c r="H14" s="26">
        <f t="shared" si="1"/>
        <v>0.99999999999999911</v>
      </c>
    </row>
    <row r="15" spans="1:9" ht="25" customHeight="1" x14ac:dyDescent="0.45">
      <c r="A15" s="31"/>
      <c r="B15" s="13">
        <v>9263</v>
      </c>
      <c r="C15" s="21">
        <v>45991</v>
      </c>
      <c r="D15" s="19">
        <v>0.70833333333333337</v>
      </c>
      <c r="E15" s="22">
        <v>0.75</v>
      </c>
      <c r="F15" s="34"/>
      <c r="G15" s="16" t="s">
        <v>60</v>
      </c>
      <c r="H15" s="26">
        <f t="shared" si="1"/>
        <v>0.99999999999999911</v>
      </c>
    </row>
    <row r="16" spans="1:9" ht="25" customHeight="1" x14ac:dyDescent="0.45">
      <c r="A16" s="31"/>
      <c r="B16" s="13"/>
      <c r="C16" s="21"/>
      <c r="D16" s="19">
        <v>0.79166666666666663</v>
      </c>
      <c r="E16" s="22">
        <v>0.875</v>
      </c>
      <c r="F16" s="34"/>
      <c r="G16" s="16" t="s">
        <v>61</v>
      </c>
      <c r="H16" s="26">
        <f t="shared" si="1"/>
        <v>2.0000000000000009</v>
      </c>
    </row>
    <row r="17" spans="1:8" ht="25" customHeight="1" x14ac:dyDescent="0.45">
      <c r="A17" s="31"/>
      <c r="B17" s="13"/>
      <c r="C17" s="21"/>
      <c r="D17" s="19">
        <v>0.875</v>
      </c>
      <c r="E17" s="22" t="s">
        <v>62</v>
      </c>
      <c r="F17" s="34"/>
      <c r="G17" s="16" t="s">
        <v>63</v>
      </c>
      <c r="H17" s="26" t="e">
        <f t="shared" si="1"/>
        <v>#VALUE!</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t="e">
        <f>SUM(H7:H79)</f>
        <v>#VALUE!</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2025-12-01T05:56:02Z</dcterms:modified>
</cp:coreProperties>
</file>