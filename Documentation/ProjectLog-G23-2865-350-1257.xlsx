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ius\Desktop\"/>
    </mc:Choice>
  </mc:AlternateContent>
  <xr:revisionPtr revIDLastSave="0" documentId="8_{EC3CEE32-EC02-4E81-954F-AB43BA7DB366}"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0" yWindow="1390" windowWidth="19200" windowHeight="11170" firstSheet="3" activeTab="4" xr2:uid="{5C666647-60C4-4C14-A5E1-8900F85EBB7F}"/>
  </bookViews>
  <sheets>
    <sheet name="DP1.0" sheetId="5" r:id="rId1"/>
    <sheet name="DP1.1" sheetId="6" r:id="rId2"/>
    <sheet name="DP1.2" sheetId="7" r:id="rId3"/>
    <sheet name="DP2.0" sheetId="9" r:id="rId4"/>
    <sheet name="DP2.1" sheetId="10" r:id="rId5"/>
    <sheet name="FP"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9"/>
  <c r="H80" i="7"/>
  <c r="H80" i="6"/>
  <c r="H80" i="5"/>
  <c r="H80" i="10" l="1"/>
</calcChain>
</file>

<file path=xl/sharedStrings.xml><?xml version="1.0" encoding="utf-8"?>
<sst xmlns="http://schemas.openxmlformats.org/spreadsheetml/2006/main" count="129" uniqueCount="55">
  <si>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</si>
  <si>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Student Name:</t>
  </si>
  <si>
    <t>Pius Lee</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</si>
  <si>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</si>
  <si>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t>Full Student Number:</t>
  </si>
  <si>
    <t>Group Number:</t>
  </si>
  <si>
    <t>G23</t>
  </si>
  <si>
    <t>Members Relative Contribution:
(estimate your contribution to this phase of the project)</t>
  </si>
  <si>
    <t>rsvd</t>
  </si>
  <si>
    <t>last  4 digits</t>
  </si>
  <si>
    <t>date</t>
  </si>
  <si>
    <t>starttime</t>
  </si>
  <si>
    <t>endtime</t>
  </si>
  <si>
    <r>
      <t xml:space="preserve">description of Micro-Activity </t>
    </r>
    <r>
      <rPr>
        <sz val="11"/>
        <color theme="1"/>
        <rFont val="Times New Roman"/>
        <family val="1"/>
      </rPr>
      <t>( include relevant facts and details)</t>
    </r>
  </si>
  <si>
    <t>Duration</t>
  </si>
  <si>
    <t>Read Project Documentation Guidelines and DP1 Instructions</t>
  </si>
  <si>
    <t>Setup. Create Directories for DP1</t>
  </si>
  <si>
    <t>Brainstorm and create outline for Project report. Worked on: table of contents,  Abstract, System Overview, Design Entities, Cost Analysis, Conclusion, Appendix sections</t>
  </si>
  <si>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</si>
  <si>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t>Wrote 64 bit CarrySelect Entity with plans to change it to N bit later on</t>
  </si>
  <si>
    <t>Wrote 64 bit RippleCarry Adder Entity</t>
  </si>
  <si>
    <t>Wrote FullAdder Entity. Confirm FullAdder -&gt; RippleCarry -&gt; CarrySelect system works. No issues.</t>
  </si>
  <si>
    <t xml:space="preserve">Replace my temporary RippleCarry with BaselineRipple written by Michael, minor naming changes.  </t>
  </si>
  <si>
    <t>Change 64 bit CarrySleect to Nbit Carry Select</t>
  </si>
  <si>
    <t>Wrote conditional sum adder by rippling Carry select adder</t>
  </si>
  <si>
    <t>Writing Testbench structure</t>
  </si>
  <si>
    <t>Adding Propogation Delay to FullAdder, as well as Overflow calulations to RippleCarry</t>
  </si>
  <si>
    <t>Created TestVectors based on edge cases</t>
  </si>
  <si>
    <t>Updated testbenches to output text, created compile.do file for modelsim</t>
  </si>
  <si>
    <t>Tested on modelsim, confirmed conditional sum adder works</t>
  </si>
  <si>
    <t>Create .do scripts, capture waveforms, Write final report. PS had no time. So did not log consitently.</t>
  </si>
  <si>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</si>
  <si>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t>Gxx</t>
  </si>
  <si>
    <t>%</t>
  </si>
  <si>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</si>
  <si>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t>Research and pick out the third design topology, wanted to implement a Parallel Prefix design, settled on the Ladner-Fischer Adder</t>
  </si>
  <si>
    <t>Created the ouline of the report using the preexisting template of DP1 and a structural description michael made. Added sections for 3 more design topologies and timing testbench section</t>
  </si>
  <si>
    <t xml:space="preserve">Wrote the Summary Outline using preexisitng template of DP1 summary. No major change was needed. </t>
  </si>
  <si>
    <t>Create directory based on Project Documentation Guideline, attatch cover page to project report outline, final checks</t>
  </si>
  <si>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</si>
  <si>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</si>
  <si>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t>Research Ladner Fischer adders and look throught the project requirments, try to optimize for cyclone vs arria</t>
  </si>
  <si>
    <t xml:space="preserve">Start writing vhdl code, wrote entity/signals along with some psedo code to get a structure </t>
  </si>
  <si>
    <t>Realized we dont need optimization for arria and cyclone, misunderstood requirements. Finish writing LadnerFischer. Using too much LE, will fix later</t>
  </si>
  <si>
    <t>Learning how to use git to commit and push files in the repo made by taylor, pushed everything for ladnerfischer simulation to work</t>
  </si>
  <si>
    <t>Testing out the simulation setup made by taylor, figuring out necessary files for timing analysis. Understanding the ConfigAdder file.  Got the ModelSim simulation working after some renaming</t>
  </si>
  <si>
    <t>Optimize LadnerFischer to use less resources, grouped p and g into a 2 bit vector, add edge cases to Adder00.tvs</t>
  </si>
  <si>
    <t xml:space="preserve">Spent too long making the flowchart of the  testbench, but it was fun </t>
  </si>
  <si>
    <t xml:space="preserve"> writing the report on Testbench architecture and workflow, wrote project introduction describing our goals and small explanation of LE vs ALM. Make test vector chart describing function of each edge case testvecotr </t>
  </si>
  <si>
    <t>Running simulation on every file after taylor edited the .do and sdf files to split timing sim for arria and cyclone, found issue in ripple carry, resolved after some renaming hassle, record all worst case delay</t>
  </si>
  <si>
    <t xml:space="preserve">Writing report on functional simulation, discussing goals and results, output files, start writing report on timing sim, considering what screen shots to add, made a chart of worst case delay between all adders and testcases </t>
  </si>
  <si>
    <t>Continue writing timing analysis, focusing on the worst case delay caused by testvectors.</t>
  </si>
  <si>
    <t>Taking Screenshot of ModelSim waveforms from FS Brent Kung and TS Ripple Carry Cyclone and annotating them</t>
  </si>
  <si>
    <t xml:space="preserve">Writing Conclusion, reflecting on the work and goals achieved. Had a call with members to run final checks, as we are close to completion. </t>
  </si>
  <si>
    <t>Final touches, add some extra descriptions and annotated photo for LadnerFischer rtl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</si>
</sst>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4" x14ac:knownFonts="1">
    <font>
      <sz val="11"/>
      <color theme="1"/>
      <name val="Calibri"/>
      <family val="2"/>
      <scheme val="minor"/>
    </font>
    <font>
      <sz val="12"/>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7">
    <xf numFmtId="0" fontId="0" fillId="0" borderId="0" xfId="0"/>
    <xf numFmtId="0" fontId="2" fillId="0" borderId="0" xfId="0" applyFont="1" applyAlignment="1">
      <alignment horizontal="center" vertical="center"/>
    </xf>
    <xf numFmtId="164" fontId="0" fillId="0" borderId="0" xfId="0" applyNumberForma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3" xfId="0" applyFont="1" applyFill="1" applyBorder="1" applyAlignment="1">
      <alignment horizontal="center" vertical="center"/>
    </xf>
    <xf numFmtId="18" fontId="0" fillId="0" borderId="0" xfId="0" applyNumberFormat="1"/>
    <xf numFmtId="18" fontId="2" fillId="3" borderId="2" xfId="0" applyNumberFormat="1" applyFont="1" applyFill="1" applyBorder="1" applyAlignment="1">
      <alignment horizontal="center" vertical="center"/>
    </xf>
    <xf numFmtId="2" fontId="4" fillId="0" borderId="0" xfId="0" applyNumberFormat="1" applyFont="1" applyAlignment="1">
      <alignment vertical="center"/>
    </xf>
    <xf numFmtId="18" fontId="2" fillId="3" borderId="4" xfId="0" applyNumberFormat="1" applyFont="1" applyFill="1" applyBorder="1" applyAlignment="1">
      <alignment horizontal="center" vertical="center"/>
    </xf>
    <xf numFmtId="2" fontId="4" fillId="0" borderId="6" xfId="0" applyNumberFormat="1" applyFont="1" applyBorder="1" applyAlignment="1" applyProtection="1">
      <alignment vertical="center"/>
      <protection hidden="1"/>
    </xf>
    <xf numFmtId="165" fontId="4" fillId="4" borderId="7" xfId="0" applyNumberFormat="1" applyFont="1" applyFill="1" applyBorder="1" applyAlignment="1" applyProtection="1">
      <alignment horizontal="center" vertical="center"/>
      <protection locked="0"/>
    </xf>
    <xf numFmtId="165" fontId="4" fillId="4" borderId="11" xfId="0" applyNumberFormat="1" applyFont="1" applyFill="1" applyBorder="1" applyAlignment="1" applyProtection="1">
      <alignment horizontal="center" vertical="center"/>
      <protection locked="0"/>
    </xf>
    <xf numFmtId="165" fontId="4"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4" fillId="0" borderId="10" xfId="0" applyNumberFormat="1" applyFont="1" applyBorder="1" applyProtection="1">
      <protection hidden="1"/>
    </xf>
    <xf numFmtId="2" fontId="4" fillId="0" borderId="13" xfId="0" applyNumberFormat="1" applyFont="1" applyBorder="1" applyProtection="1">
      <protection hidden="1"/>
    </xf>
    <xf numFmtId="2" fontId="4" fillId="5" borderId="0" xfId="0" applyNumberFormat="1" applyFont="1" applyFill="1" applyProtection="1">
      <protection hidden="1"/>
    </xf>
    <xf numFmtId="2" fontId="4"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4" fillId="0" borderId="6" xfId="0" applyNumberFormat="1" applyFont="1" applyBorder="1" applyAlignment="1">
      <alignment vertical="center"/>
    </xf>
    <xf numFmtId="2" fontId="4" fillId="0" borderId="10" xfId="0" applyNumberFormat="1" applyFont="1" applyBorder="1"/>
    <xf numFmtId="2" fontId="4" fillId="0" borderId="13" xfId="0" applyNumberFormat="1" applyFont="1" applyBorder="1"/>
    <xf numFmtId="0" fontId="11" fillId="2" borderId="0" xfId="0" applyFont="1" applyFill="1" applyAlignment="1">
      <alignment horizontal="left" vertical="center"/>
    </xf>
    <xf numFmtId="0" fontId="12" fillId="2" borderId="20"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9" fontId="7" fillId="4" borderId="16" xfId="0" applyNumberFormat="1" applyFont="1" applyFill="1" applyBorder="1" applyAlignment="1" applyProtection="1">
      <alignment horizontal="center" vertical="center"/>
      <protection locked="0"/>
    </xf>
    <xf numFmtId="0" fontId="7" fillId="4" borderId="10"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18" fontId="5" fillId="5" borderId="21" xfId="0" applyNumberFormat="1" applyFont="1" applyFill="1" applyBorder="1" applyAlignment="1">
      <alignment horizontal="center" vertical="center"/>
    </xf>
    <xf numFmtId="18" fontId="5" fillId="5" borderId="4" xfId="0" applyNumberFormat="1" applyFont="1" applyFill="1" applyBorder="1" applyAlignment="1">
      <alignment horizontal="center" vertical="center"/>
    </xf>
    <xf numFmtId="18" fontId="5" fillId="5" borderId="22" xfId="0" applyNumberFormat="1" applyFont="1" applyFill="1" applyBorder="1" applyAlignment="1">
      <alignment horizontal="center" vertical="center"/>
    </xf>
    <xf numFmtId="18" fontId="5" fillId="5" borderId="0" xfId="0" applyNumberFormat="1" applyFont="1" applyFill="1" applyAlignment="1">
      <alignment horizontal="center" vertical="center"/>
    </xf>
    <xf numFmtId="18" fontId="5" fillId="5" borderId="23" xfId="0" applyNumberFormat="1" applyFont="1" applyFill="1" applyBorder="1" applyAlignment="1">
      <alignment horizontal="center" vertical="center"/>
    </xf>
    <xf numFmtId="18" fontId="5" fillId="5" borderId="24" xfId="0" applyNumberFormat="1" applyFont="1" applyFill="1" applyBorder="1" applyAlignment="1">
      <alignment horizontal="center" vertical="center"/>
    </xf>
    <xf numFmtId="0" fontId="1" fillId="4" borderId="18" xfId="0" applyFont="1" applyFill="1" applyBorder="1" applyAlignment="1" applyProtection="1">
      <alignment horizontal="center" vertical="center"/>
      <protection locked="0"/>
    </xf>
    <xf numFmtId="0" fontId="1" fillId="4" borderId="6" xfId="0" applyFont="1" applyFill="1" applyBorder="1" applyAlignment="1" applyProtection="1">
      <alignment horizontal="center" vertical="center"/>
      <protection locked="0"/>
    </xf>
    <xf numFmtId="0" fontId="1" fillId="4" borderId="19" xfId="0" applyFont="1" applyFill="1" applyBorder="1" applyAlignment="1" applyProtection="1">
      <alignment horizontal="center" vertical="center"/>
      <protection locked="0"/>
    </xf>
    <xf numFmtId="0" fontId="4" fillId="4" borderId="16" xfId="0" applyFont="1" applyFill="1" applyBorder="1" applyAlignment="1" applyProtection="1">
      <alignment horizontal="center" vertical="center"/>
      <protection locked="0"/>
    </xf>
    <xf numFmtId="0" fontId="4" fillId="4" borderId="10"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7" fillId="4" borderId="16"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B2" sqref="B2:D5"/>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t="s">
        <v>2</v>
      </c>
      <c r="C2" s="51"/>
      <c r="D2" s="52"/>
      <c r="E2" s="44" t="s">
        <v>3</v>
      </c>
      <c r="F2" s="45"/>
      <c r="G2" s="45"/>
    </row>
    <row r="3" spans="1:9" ht="25" customHeight="1" x14ac:dyDescent="0.35">
      <c r="A3" s="36" t="s">
        <v>4</v>
      </c>
      <c r="B3" s="53">
        <v>301592865</v>
      </c>
      <c r="C3" s="54"/>
      <c r="D3" s="55"/>
      <c r="E3" s="46"/>
      <c r="F3" s="47"/>
      <c r="G3" s="47"/>
    </row>
    <row r="4" spans="1:9" ht="25" customHeight="1" thickBot="1" x14ac:dyDescent="0.4">
      <c r="A4" s="36" t="s">
        <v>5</v>
      </c>
      <c r="B4" s="56" t="s">
        <v>6</v>
      </c>
      <c r="C4" s="42"/>
      <c r="D4" s="43"/>
      <c r="E4" s="46"/>
      <c r="F4" s="47"/>
      <c r="G4" s="47"/>
    </row>
    <row r="5" spans="1:9" ht="59.5" customHeight="1" thickBot="1" x14ac:dyDescent="0.4">
      <c r="A5" s="37" t="s">
        <v>7</v>
      </c>
      <c r="B5" s="41">
        <v>0.6</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x14ac:dyDescent="0.35">
      <c r="A7" s="30"/>
      <c r="B7" s="12">
        <v>2865</v>
      </c>
      <c r="C7" s="18">
        <v>45935</v>
      </c>
      <c r="D7" s="19">
        <v>0.6875</v>
      </c>
      <c r="E7" s="20">
        <v>0.70833333333333337</v>
      </c>
      <c r="F7" s="33"/>
      <c r="G7" s="15" t="s">
        <v>15</v>
      </c>
      <c r="H7" s="11">
        <f t="shared" ref="H7" si="0">(E7-D7)*24</f>
        <v>0.50000000000000089</v>
      </c>
      <c r="I7" s="9"/>
    </row>
    <row r="8" spans="1:9" ht="25" customHeight="1" x14ac:dyDescent="0.45">
      <c r="A8" s="31"/>
      <c r="B8" s="13">
        <v>2865</v>
      </c>
      <c r="C8" s="21">
        <v>45935</v>
      </c>
      <c r="D8" s="19">
        <v>0.70833333333333337</v>
      </c>
      <c r="E8" s="22">
        <v>0.72916666666666663</v>
      </c>
      <c r="F8" s="34"/>
      <c r="G8" s="16" t="s">
        <v>16</v>
      </c>
      <c r="H8" s="26">
        <f>(E8-D8)*24</f>
        <v>0.49999999999999822</v>
      </c>
    </row>
    <row r="9" spans="1:9" ht="25" customHeight="1" x14ac:dyDescent="0.45">
      <c r="A9" s="31"/>
      <c r="B9" s="13">
        <v>2865</v>
      </c>
      <c r="C9" s="21">
        <v>45935</v>
      </c>
      <c r="D9" s="19">
        <v>0.75</v>
      </c>
      <c r="E9" s="22">
        <v>0.8125</v>
      </c>
      <c r="F9" s="34"/>
      <c r="G9" s="16" t="s">
        <v>17</v>
      </c>
      <c r="H9" s="26">
        <f t="shared" ref="H9:H72" si="1">(E9-D9)*24</f>
        <v>1.5</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2.4999999999999991</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B5" sqref="B5:D5"/>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t="s">
        <v>2</v>
      </c>
      <c r="C2" s="51"/>
      <c r="D2" s="52"/>
      <c r="E2" s="44" t="s">
        <v>18</v>
      </c>
      <c r="F2" s="45"/>
      <c r="G2" s="45"/>
    </row>
    <row r="3" spans="1:9" ht="25" customHeight="1" x14ac:dyDescent="0.35">
      <c r="A3" s="36" t="s">
        <v>4</v>
      </c>
      <c r="B3" s="53">
        <v>301592865</v>
      </c>
      <c r="C3" s="54"/>
      <c r="D3" s="55"/>
      <c r="E3" s="46"/>
      <c r="F3" s="47"/>
      <c r="G3" s="47"/>
    </row>
    <row r="4" spans="1:9" ht="25" customHeight="1" thickBot="1" x14ac:dyDescent="0.4">
      <c r="A4" s="36" t="s">
        <v>5</v>
      </c>
      <c r="B4" s="56" t="s">
        <v>6</v>
      </c>
      <c r="C4" s="42"/>
      <c r="D4" s="43"/>
      <c r="E4" s="46"/>
      <c r="F4" s="47"/>
      <c r="G4" s="47"/>
    </row>
    <row r="5" spans="1:9" ht="59.5" customHeight="1" thickBot="1" x14ac:dyDescent="0.4">
      <c r="A5" s="37" t="s">
        <v>7</v>
      </c>
      <c r="B5" s="41">
        <v>0.33300000000000002</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thickBot="1" x14ac:dyDescent="0.4">
      <c r="A7" s="30"/>
      <c r="B7" s="12">
        <v>2865</v>
      </c>
      <c r="C7" s="18">
        <v>45939</v>
      </c>
      <c r="D7" s="19">
        <v>0.6875</v>
      </c>
      <c r="E7" s="20">
        <v>0.72916666666666663</v>
      </c>
      <c r="F7" s="33"/>
      <c r="G7" s="15" t="s">
        <v>19</v>
      </c>
      <c r="H7" s="11">
        <f>(E7-D7)*24</f>
        <v>0.99999999999999911</v>
      </c>
      <c r="I7" s="9"/>
    </row>
    <row r="8" spans="1:9" ht="25" customHeight="1" thickBot="1" x14ac:dyDescent="0.5">
      <c r="A8" s="31"/>
      <c r="B8" s="12">
        <v>2865</v>
      </c>
      <c r="C8" s="18">
        <v>45939</v>
      </c>
      <c r="D8" s="19">
        <v>0.72916666666666663</v>
      </c>
      <c r="E8" s="20">
        <v>0.75</v>
      </c>
      <c r="F8" s="34"/>
      <c r="G8" s="16" t="s">
        <v>20</v>
      </c>
      <c r="H8" s="26">
        <f>(E8-D8)*24</f>
        <v>0.50000000000000089</v>
      </c>
    </row>
    <row r="9" spans="1:9" ht="25" customHeight="1" thickBot="1" x14ac:dyDescent="0.5">
      <c r="A9" s="31"/>
      <c r="B9" s="12">
        <v>2865</v>
      </c>
      <c r="C9" s="18">
        <v>45939</v>
      </c>
      <c r="D9" s="19">
        <v>0.75</v>
      </c>
      <c r="E9" s="20">
        <v>0.77083333333333337</v>
      </c>
      <c r="F9" s="34"/>
      <c r="G9" s="16" t="s">
        <v>21</v>
      </c>
      <c r="H9" s="26">
        <f>(E9-D9)*24</f>
        <v>0.50000000000000089</v>
      </c>
    </row>
    <row r="10" spans="1:9" ht="25" customHeight="1" thickBot="1" x14ac:dyDescent="0.5">
      <c r="A10" s="31"/>
      <c r="B10" s="12"/>
      <c r="C10" s="21"/>
      <c r="D10" s="19"/>
      <c r="E10" s="22"/>
      <c r="F10" s="34"/>
      <c r="G10" s="16"/>
      <c r="H10" s="26">
        <f t="shared" ref="H10:H72" si="0">(E10-D10)*24</f>
        <v>0</v>
      </c>
    </row>
    <row r="11" spans="1:9" ht="25" customHeight="1" thickBot="1" x14ac:dyDescent="0.5">
      <c r="A11" s="31"/>
      <c r="B11" s="12">
        <v>2865</v>
      </c>
      <c r="C11" s="21">
        <v>45941</v>
      </c>
      <c r="D11" s="19">
        <v>0.66666666666666663</v>
      </c>
      <c r="E11" s="22">
        <v>0.6875</v>
      </c>
      <c r="F11" s="34"/>
      <c r="G11" s="16" t="s">
        <v>22</v>
      </c>
      <c r="H11" s="26">
        <f t="shared" si="0"/>
        <v>0.50000000000000089</v>
      </c>
    </row>
    <row r="12" spans="1:9" ht="25" customHeight="1" thickBot="1" x14ac:dyDescent="0.5">
      <c r="A12" s="31"/>
      <c r="B12" s="12">
        <v>2865</v>
      </c>
      <c r="C12" s="21">
        <v>45941</v>
      </c>
      <c r="D12" s="19">
        <v>0.6875</v>
      </c>
      <c r="E12" s="22">
        <v>0.72916666666666663</v>
      </c>
      <c r="F12" s="34"/>
      <c r="G12" s="16" t="s">
        <v>23</v>
      </c>
      <c r="H12" s="26">
        <f t="shared" si="0"/>
        <v>0.99999999999999911</v>
      </c>
    </row>
    <row r="13" spans="1:9" ht="25" customHeight="1" thickBot="1" x14ac:dyDescent="0.5">
      <c r="A13" s="31"/>
      <c r="B13" s="12">
        <v>2865</v>
      </c>
      <c r="C13" s="21">
        <v>45941</v>
      </c>
      <c r="D13" s="19">
        <v>0.72916666666666663</v>
      </c>
      <c r="E13" s="22">
        <v>0.75</v>
      </c>
      <c r="F13" s="34"/>
      <c r="G13" s="16" t="s">
        <v>24</v>
      </c>
      <c r="H13" s="26">
        <f t="shared" si="0"/>
        <v>0.50000000000000089</v>
      </c>
    </row>
    <row r="14" spans="1:9" ht="25" customHeight="1" thickBot="1" x14ac:dyDescent="0.5">
      <c r="A14" s="31"/>
      <c r="B14" s="12">
        <v>2865</v>
      </c>
      <c r="C14" s="21">
        <v>45941</v>
      </c>
      <c r="D14" s="22">
        <v>0.75</v>
      </c>
      <c r="E14" s="22">
        <v>0.79166666666666663</v>
      </c>
      <c r="F14" s="34"/>
      <c r="G14" s="16" t="s">
        <v>25</v>
      </c>
      <c r="H14" s="26">
        <f t="shared" si="0"/>
        <v>0.99999999999999911</v>
      </c>
    </row>
    <row r="15" spans="1:9" ht="25" customHeight="1" thickBot="1" x14ac:dyDescent="0.5">
      <c r="A15" s="31"/>
      <c r="B15" s="12">
        <v>2865</v>
      </c>
      <c r="C15" s="21">
        <v>45941</v>
      </c>
      <c r="D15" s="22">
        <v>0.79166666666666663</v>
      </c>
      <c r="E15" s="22">
        <v>0.8125</v>
      </c>
      <c r="F15" s="34"/>
      <c r="G15" s="16" t="s">
        <v>26</v>
      </c>
      <c r="H15" s="26">
        <f t="shared" si="0"/>
        <v>0.50000000000000089</v>
      </c>
    </row>
    <row r="16" spans="1:9" ht="25" customHeight="1" thickBot="1" x14ac:dyDescent="0.5">
      <c r="A16" s="31"/>
      <c r="B16" s="12">
        <v>2865</v>
      </c>
      <c r="C16" s="21">
        <v>45941</v>
      </c>
      <c r="D16" s="22">
        <v>0.8125</v>
      </c>
      <c r="E16" s="22">
        <v>0.83333333333333337</v>
      </c>
      <c r="F16" s="34"/>
      <c r="G16" s="16" t="s">
        <v>27</v>
      </c>
      <c r="H16" s="26">
        <f t="shared" si="0"/>
        <v>0.50000000000000089</v>
      </c>
    </row>
    <row r="17" spans="1:8" ht="25" customHeight="1" thickBot="1" x14ac:dyDescent="0.5">
      <c r="A17" s="31"/>
      <c r="B17" s="12">
        <v>2865</v>
      </c>
      <c r="C17" s="21">
        <v>45941</v>
      </c>
      <c r="D17" s="22">
        <v>0.83333333333333337</v>
      </c>
      <c r="E17" s="22">
        <v>0.875</v>
      </c>
      <c r="F17" s="34"/>
      <c r="G17" s="16" t="s">
        <v>28</v>
      </c>
      <c r="H17" s="26">
        <f t="shared" si="0"/>
        <v>0.99999999999999911</v>
      </c>
    </row>
    <row r="18" spans="1:8" ht="25" customHeight="1" x14ac:dyDescent="0.45">
      <c r="A18" s="31"/>
      <c r="B18" s="12">
        <v>2865</v>
      </c>
      <c r="C18" s="21">
        <v>45941</v>
      </c>
      <c r="D18" s="22">
        <v>0.875</v>
      </c>
      <c r="E18" s="22">
        <v>0.89583333333333337</v>
      </c>
      <c r="F18" s="34"/>
      <c r="G18" s="16" t="s">
        <v>29</v>
      </c>
      <c r="H18" s="26">
        <f t="shared" si="0"/>
        <v>0.50000000000000089</v>
      </c>
    </row>
    <row r="19" spans="1:8" ht="25" customHeight="1" thickBot="1" x14ac:dyDescent="0.5">
      <c r="A19" s="31"/>
      <c r="B19" s="13"/>
      <c r="C19" s="21"/>
      <c r="D19" s="19"/>
      <c r="E19" s="22"/>
      <c r="F19" s="34"/>
      <c r="G19" s="16"/>
      <c r="H19" s="26">
        <f t="shared" si="0"/>
        <v>0</v>
      </c>
    </row>
    <row r="20" spans="1:8" ht="25" customHeight="1" x14ac:dyDescent="0.45">
      <c r="A20" s="31"/>
      <c r="B20" s="12">
        <v>2865</v>
      </c>
      <c r="C20" s="21">
        <v>45942</v>
      </c>
      <c r="D20" s="19">
        <v>0.54166666666666663</v>
      </c>
      <c r="E20" s="22">
        <v>0</v>
      </c>
      <c r="F20" s="34"/>
      <c r="G20" s="16" t="s">
        <v>30</v>
      </c>
      <c r="H20" s="26">
        <f t="shared" si="0"/>
        <v>-13</v>
      </c>
    </row>
    <row r="21" spans="1:8" ht="25" customHeight="1" x14ac:dyDescent="0.45">
      <c r="A21" s="31"/>
      <c r="B21" s="13"/>
      <c r="C21" s="21"/>
      <c r="D21" s="19"/>
      <c r="E21" s="22"/>
      <c r="F21" s="34"/>
      <c r="G21" s="16"/>
      <c r="H21" s="26">
        <f t="shared" si="0"/>
        <v>0</v>
      </c>
    </row>
    <row r="22" spans="1:8" ht="25" customHeight="1" x14ac:dyDescent="0.45">
      <c r="A22" s="31"/>
      <c r="B22" s="13"/>
      <c r="C22" s="21"/>
      <c r="D22" s="19"/>
      <c r="E22" s="22"/>
      <c r="F22" s="34"/>
      <c r="G22" s="16"/>
      <c r="H22" s="26">
        <f t="shared" si="0"/>
        <v>0</v>
      </c>
    </row>
    <row r="23" spans="1:8" ht="25" customHeight="1" x14ac:dyDescent="0.45">
      <c r="A23" s="31"/>
      <c r="B23" s="13"/>
      <c r="C23" s="21"/>
      <c r="D23" s="19"/>
      <c r="E23" s="22"/>
      <c r="F23" s="34"/>
      <c r="G23" s="16"/>
      <c r="H23" s="26">
        <f t="shared" si="0"/>
        <v>0</v>
      </c>
    </row>
    <row r="24" spans="1:8" ht="25" customHeight="1" x14ac:dyDescent="0.45">
      <c r="A24" s="31"/>
      <c r="B24" s="13"/>
      <c r="C24" s="21"/>
      <c r="D24" s="19"/>
      <c r="E24" s="22"/>
      <c r="F24" s="34"/>
      <c r="G24" s="16"/>
      <c r="H24" s="26">
        <f t="shared" si="0"/>
        <v>0</v>
      </c>
    </row>
    <row r="25" spans="1:8" ht="25" customHeight="1" x14ac:dyDescent="0.45">
      <c r="A25" s="31"/>
      <c r="B25" s="13"/>
      <c r="C25" s="21"/>
      <c r="D25" s="19"/>
      <c r="E25" s="22"/>
      <c r="F25" s="34"/>
      <c r="G25" s="16"/>
      <c r="H25" s="26">
        <f t="shared" si="0"/>
        <v>0</v>
      </c>
    </row>
    <row r="26" spans="1:8" ht="25" customHeight="1" x14ac:dyDescent="0.45">
      <c r="A26" s="31"/>
      <c r="B26" s="13"/>
      <c r="C26" s="21"/>
      <c r="D26" s="19"/>
      <c r="E26" s="22"/>
      <c r="F26" s="34"/>
      <c r="G26" s="16"/>
      <c r="H26" s="26">
        <f t="shared" si="0"/>
        <v>0</v>
      </c>
    </row>
    <row r="27" spans="1:8" ht="25" customHeight="1" x14ac:dyDescent="0.45">
      <c r="A27" s="31"/>
      <c r="B27" s="13"/>
      <c r="C27" s="21"/>
      <c r="D27" s="19"/>
      <c r="E27" s="22"/>
      <c r="F27" s="34"/>
      <c r="G27" s="16"/>
      <c r="H27" s="26">
        <f t="shared" si="0"/>
        <v>0</v>
      </c>
    </row>
    <row r="28" spans="1:8" ht="25" customHeight="1" x14ac:dyDescent="0.45">
      <c r="A28" s="31"/>
      <c r="B28" s="13"/>
      <c r="C28" s="21"/>
      <c r="D28" s="19"/>
      <c r="E28" s="22"/>
      <c r="F28" s="34"/>
      <c r="G28" s="16"/>
      <c r="H28" s="26">
        <f t="shared" si="0"/>
        <v>0</v>
      </c>
    </row>
    <row r="29" spans="1:8" ht="25" customHeight="1" x14ac:dyDescent="0.45">
      <c r="A29" s="31"/>
      <c r="B29" s="13"/>
      <c r="C29" s="21"/>
      <c r="D29" s="19"/>
      <c r="E29" s="22"/>
      <c r="F29" s="34"/>
      <c r="G29" s="16"/>
      <c r="H29" s="26">
        <f t="shared" si="0"/>
        <v>0</v>
      </c>
    </row>
    <row r="30" spans="1:8" ht="25" customHeight="1" x14ac:dyDescent="0.45">
      <c r="A30" s="31"/>
      <c r="B30" s="13"/>
      <c r="C30" s="21"/>
      <c r="D30" s="19"/>
      <c r="E30" s="22"/>
      <c r="F30" s="34"/>
      <c r="G30" s="16"/>
      <c r="H30" s="26">
        <f t="shared" si="0"/>
        <v>0</v>
      </c>
    </row>
    <row r="31" spans="1:8" ht="25" customHeight="1" x14ac:dyDescent="0.45">
      <c r="A31" s="31"/>
      <c r="B31" s="13"/>
      <c r="C31" s="21"/>
      <c r="D31" s="19"/>
      <c r="E31" s="22"/>
      <c r="F31" s="34"/>
      <c r="G31" s="16"/>
      <c r="H31" s="26">
        <f t="shared" si="0"/>
        <v>0</v>
      </c>
    </row>
    <row r="32" spans="1:8" ht="25" customHeight="1" x14ac:dyDescent="0.45">
      <c r="A32" s="31"/>
      <c r="B32" s="13"/>
      <c r="C32" s="21"/>
      <c r="D32" s="19"/>
      <c r="E32" s="22"/>
      <c r="F32" s="34"/>
      <c r="G32" s="16"/>
      <c r="H32" s="26">
        <f t="shared" si="0"/>
        <v>0</v>
      </c>
    </row>
    <row r="33" spans="1:8" ht="25" customHeight="1" x14ac:dyDescent="0.45">
      <c r="A33" s="31"/>
      <c r="B33" s="13"/>
      <c r="C33" s="21"/>
      <c r="D33" s="19"/>
      <c r="E33" s="22"/>
      <c r="F33" s="34"/>
      <c r="G33" s="16"/>
      <c r="H33" s="26">
        <f t="shared" si="0"/>
        <v>0</v>
      </c>
    </row>
    <row r="34" spans="1:8" ht="25" customHeight="1" x14ac:dyDescent="0.45">
      <c r="A34" s="31"/>
      <c r="B34" s="13"/>
      <c r="C34" s="21"/>
      <c r="D34" s="19"/>
      <c r="E34" s="22"/>
      <c r="F34" s="34"/>
      <c r="G34" s="16"/>
      <c r="H34" s="26">
        <f t="shared" si="0"/>
        <v>0</v>
      </c>
    </row>
    <row r="35" spans="1:8" ht="25" customHeight="1" x14ac:dyDescent="0.45">
      <c r="A35" s="31"/>
      <c r="B35" s="13"/>
      <c r="C35" s="21"/>
      <c r="D35" s="19"/>
      <c r="E35" s="22"/>
      <c r="F35" s="34"/>
      <c r="G35" s="16"/>
      <c r="H35" s="26">
        <f t="shared" si="0"/>
        <v>0</v>
      </c>
    </row>
    <row r="36" spans="1:8" ht="25" customHeight="1" x14ac:dyDescent="0.45">
      <c r="A36" s="31"/>
      <c r="B36" s="13"/>
      <c r="C36" s="21"/>
      <c r="D36" s="19"/>
      <c r="E36" s="22"/>
      <c r="F36" s="34"/>
      <c r="G36" s="16"/>
      <c r="H36" s="26">
        <f t="shared" si="0"/>
        <v>0</v>
      </c>
    </row>
    <row r="37" spans="1:8" ht="25" customHeight="1" x14ac:dyDescent="0.45">
      <c r="A37" s="31"/>
      <c r="B37" s="13"/>
      <c r="C37" s="21"/>
      <c r="D37" s="19"/>
      <c r="E37" s="22"/>
      <c r="F37" s="34"/>
      <c r="G37" s="16"/>
      <c r="H37" s="26">
        <f t="shared" si="0"/>
        <v>0</v>
      </c>
    </row>
    <row r="38" spans="1:8" ht="25" customHeight="1" x14ac:dyDescent="0.45">
      <c r="A38" s="31"/>
      <c r="B38" s="13"/>
      <c r="C38" s="21"/>
      <c r="D38" s="19"/>
      <c r="E38" s="22"/>
      <c r="F38" s="34"/>
      <c r="G38" s="16"/>
      <c r="H38" s="26">
        <f t="shared" si="0"/>
        <v>0</v>
      </c>
    </row>
    <row r="39" spans="1:8" ht="25" customHeight="1" x14ac:dyDescent="0.45">
      <c r="A39" s="31"/>
      <c r="B39" s="13"/>
      <c r="C39" s="21"/>
      <c r="D39" s="19"/>
      <c r="E39" s="22"/>
      <c r="F39" s="34"/>
      <c r="G39" s="16"/>
      <c r="H39" s="26">
        <f t="shared" si="0"/>
        <v>0</v>
      </c>
    </row>
    <row r="40" spans="1:8" ht="25" customHeight="1" x14ac:dyDescent="0.45">
      <c r="A40" s="31"/>
      <c r="B40" s="13"/>
      <c r="C40" s="21"/>
      <c r="D40" s="19"/>
      <c r="E40" s="22"/>
      <c r="F40" s="34"/>
      <c r="G40" s="16"/>
      <c r="H40" s="26">
        <f t="shared" si="0"/>
        <v>0</v>
      </c>
    </row>
    <row r="41" spans="1:8" ht="25" customHeight="1" x14ac:dyDescent="0.45">
      <c r="A41" s="31"/>
      <c r="B41" s="13"/>
      <c r="C41" s="21"/>
      <c r="D41" s="19"/>
      <c r="E41" s="22"/>
      <c r="F41" s="34"/>
      <c r="G41" s="16"/>
      <c r="H41" s="26">
        <f t="shared" si="0"/>
        <v>0</v>
      </c>
    </row>
    <row r="42" spans="1:8" ht="25" customHeight="1" x14ac:dyDescent="0.45">
      <c r="A42" s="31"/>
      <c r="B42" s="13"/>
      <c r="C42" s="21"/>
      <c r="D42" s="19"/>
      <c r="E42" s="22"/>
      <c r="F42" s="34"/>
      <c r="G42" s="16"/>
      <c r="H42" s="26">
        <f t="shared" si="0"/>
        <v>0</v>
      </c>
    </row>
    <row r="43" spans="1:8" ht="25" customHeight="1" x14ac:dyDescent="0.45">
      <c r="A43" s="31"/>
      <c r="B43" s="13"/>
      <c r="C43" s="21"/>
      <c r="D43" s="19"/>
      <c r="E43" s="22"/>
      <c r="F43" s="34"/>
      <c r="G43" s="16"/>
      <c r="H43" s="26">
        <f t="shared" si="0"/>
        <v>0</v>
      </c>
    </row>
    <row r="44" spans="1:8" ht="25" customHeight="1" x14ac:dyDescent="0.45">
      <c r="A44" s="31"/>
      <c r="B44" s="13"/>
      <c r="C44" s="21"/>
      <c r="D44" s="19"/>
      <c r="E44" s="22"/>
      <c r="F44" s="34"/>
      <c r="G44" s="16"/>
      <c r="H44" s="26">
        <f t="shared" si="0"/>
        <v>0</v>
      </c>
    </row>
    <row r="45" spans="1:8" ht="25" customHeight="1" x14ac:dyDescent="0.45">
      <c r="A45" s="31"/>
      <c r="B45" s="13"/>
      <c r="C45" s="21"/>
      <c r="D45" s="19"/>
      <c r="E45" s="22"/>
      <c r="F45" s="34"/>
      <c r="G45" s="16"/>
      <c r="H45" s="26">
        <f t="shared" si="0"/>
        <v>0</v>
      </c>
    </row>
    <row r="46" spans="1:8" ht="25" customHeight="1" x14ac:dyDescent="0.45">
      <c r="A46" s="31"/>
      <c r="B46" s="13"/>
      <c r="C46" s="21"/>
      <c r="D46" s="19"/>
      <c r="E46" s="22"/>
      <c r="F46" s="34"/>
      <c r="G46" s="16"/>
      <c r="H46" s="26">
        <f t="shared" si="0"/>
        <v>0</v>
      </c>
    </row>
    <row r="47" spans="1:8" ht="25" customHeight="1" x14ac:dyDescent="0.45">
      <c r="A47" s="31"/>
      <c r="B47" s="13"/>
      <c r="C47" s="21"/>
      <c r="D47" s="19"/>
      <c r="E47" s="22"/>
      <c r="F47" s="34"/>
      <c r="G47" s="16"/>
      <c r="H47" s="26">
        <f t="shared" si="0"/>
        <v>0</v>
      </c>
    </row>
    <row r="48" spans="1:8" ht="25" customHeight="1" x14ac:dyDescent="0.45">
      <c r="A48" s="31"/>
      <c r="B48" s="13"/>
      <c r="C48" s="21"/>
      <c r="D48" s="19"/>
      <c r="E48" s="22"/>
      <c r="F48" s="34"/>
      <c r="G48" s="16"/>
      <c r="H48" s="26">
        <f t="shared" si="0"/>
        <v>0</v>
      </c>
    </row>
    <row r="49" spans="1:8" ht="25" customHeight="1" x14ac:dyDescent="0.45">
      <c r="A49" s="31"/>
      <c r="B49" s="13"/>
      <c r="C49" s="21"/>
      <c r="D49" s="19"/>
      <c r="E49" s="22"/>
      <c r="F49" s="34"/>
      <c r="G49" s="16"/>
      <c r="H49" s="26">
        <f t="shared" si="0"/>
        <v>0</v>
      </c>
    </row>
    <row r="50" spans="1:8" ht="25" customHeight="1" x14ac:dyDescent="0.45">
      <c r="A50" s="31"/>
      <c r="B50" s="13"/>
      <c r="C50" s="21"/>
      <c r="D50" s="19"/>
      <c r="E50" s="22"/>
      <c r="F50" s="34"/>
      <c r="G50" s="16"/>
      <c r="H50" s="26">
        <f t="shared" si="0"/>
        <v>0</v>
      </c>
    </row>
    <row r="51" spans="1:8" ht="25" customHeight="1" x14ac:dyDescent="0.45">
      <c r="A51" s="31"/>
      <c r="B51" s="13"/>
      <c r="C51" s="21"/>
      <c r="D51" s="19"/>
      <c r="E51" s="22"/>
      <c r="F51" s="34"/>
      <c r="G51" s="16"/>
      <c r="H51" s="26">
        <f t="shared" si="0"/>
        <v>0</v>
      </c>
    </row>
    <row r="52" spans="1:8" ht="25" customHeight="1" x14ac:dyDescent="0.45">
      <c r="A52" s="31"/>
      <c r="B52" s="13"/>
      <c r="C52" s="21"/>
      <c r="D52" s="19"/>
      <c r="E52" s="22"/>
      <c r="F52" s="34"/>
      <c r="G52" s="16"/>
      <c r="H52" s="26">
        <f t="shared" si="0"/>
        <v>0</v>
      </c>
    </row>
    <row r="53" spans="1:8" ht="25" customHeight="1" x14ac:dyDescent="0.45">
      <c r="A53" s="31"/>
      <c r="B53" s="13"/>
      <c r="C53" s="21"/>
      <c r="D53" s="19"/>
      <c r="E53" s="22"/>
      <c r="F53" s="34"/>
      <c r="G53" s="16"/>
      <c r="H53" s="26">
        <f t="shared" si="0"/>
        <v>0</v>
      </c>
    </row>
    <row r="54" spans="1:8" ht="25" customHeight="1" x14ac:dyDescent="0.45">
      <c r="A54" s="31"/>
      <c r="B54" s="13"/>
      <c r="C54" s="21"/>
      <c r="D54" s="19"/>
      <c r="E54" s="22"/>
      <c r="F54" s="34"/>
      <c r="G54" s="16"/>
      <c r="H54" s="26">
        <f t="shared" si="0"/>
        <v>0</v>
      </c>
    </row>
    <row r="55" spans="1:8" ht="25" customHeight="1" x14ac:dyDescent="0.45">
      <c r="A55" s="31"/>
      <c r="B55" s="13"/>
      <c r="C55" s="21"/>
      <c r="D55" s="19"/>
      <c r="E55" s="22"/>
      <c r="F55" s="34"/>
      <c r="G55" s="16"/>
      <c r="H55" s="26">
        <f t="shared" si="0"/>
        <v>0</v>
      </c>
    </row>
    <row r="56" spans="1:8" ht="25" customHeight="1" x14ac:dyDescent="0.45">
      <c r="A56" s="31"/>
      <c r="B56" s="13"/>
      <c r="C56" s="21"/>
      <c r="D56" s="19"/>
      <c r="E56" s="22"/>
      <c r="F56" s="34"/>
      <c r="G56" s="16"/>
      <c r="H56" s="26">
        <f t="shared" si="0"/>
        <v>0</v>
      </c>
    </row>
    <row r="57" spans="1:8" ht="25" customHeight="1" x14ac:dyDescent="0.45">
      <c r="A57" s="31"/>
      <c r="B57" s="13"/>
      <c r="C57" s="21"/>
      <c r="D57" s="19"/>
      <c r="E57" s="22"/>
      <c r="F57" s="34"/>
      <c r="G57" s="16"/>
      <c r="H57" s="26">
        <f t="shared" si="0"/>
        <v>0</v>
      </c>
    </row>
    <row r="58" spans="1:8" ht="25" customHeight="1" x14ac:dyDescent="0.45">
      <c r="A58" s="31"/>
      <c r="B58" s="13"/>
      <c r="C58" s="21"/>
      <c r="D58" s="19"/>
      <c r="E58" s="22"/>
      <c r="F58" s="34"/>
      <c r="G58" s="16"/>
      <c r="H58" s="26">
        <f t="shared" si="0"/>
        <v>0</v>
      </c>
    </row>
    <row r="59" spans="1:8" ht="25" customHeight="1" x14ac:dyDescent="0.45">
      <c r="A59" s="31"/>
      <c r="B59" s="13"/>
      <c r="C59" s="21"/>
      <c r="D59" s="19"/>
      <c r="E59" s="22"/>
      <c r="F59" s="34"/>
      <c r="G59" s="16"/>
      <c r="H59" s="26">
        <f t="shared" si="0"/>
        <v>0</v>
      </c>
    </row>
    <row r="60" spans="1:8" ht="25" customHeight="1" x14ac:dyDescent="0.45">
      <c r="A60" s="31"/>
      <c r="B60" s="13"/>
      <c r="C60" s="21"/>
      <c r="D60" s="19"/>
      <c r="E60" s="22"/>
      <c r="F60" s="34"/>
      <c r="G60" s="16"/>
      <c r="H60" s="26">
        <f t="shared" si="0"/>
        <v>0</v>
      </c>
    </row>
    <row r="61" spans="1:8" ht="25" customHeight="1" x14ac:dyDescent="0.45">
      <c r="A61" s="31"/>
      <c r="B61" s="13"/>
      <c r="C61" s="21"/>
      <c r="D61" s="19"/>
      <c r="E61" s="22"/>
      <c r="F61" s="34"/>
      <c r="G61" s="16"/>
      <c r="H61" s="26">
        <f t="shared" si="0"/>
        <v>0</v>
      </c>
    </row>
    <row r="62" spans="1:8" ht="25" customHeight="1" x14ac:dyDescent="0.45">
      <c r="A62" s="31"/>
      <c r="B62" s="13"/>
      <c r="C62" s="21"/>
      <c r="D62" s="19"/>
      <c r="E62" s="22"/>
      <c r="F62" s="34"/>
      <c r="G62" s="16"/>
      <c r="H62" s="26">
        <f t="shared" si="0"/>
        <v>0</v>
      </c>
    </row>
    <row r="63" spans="1:8" ht="25" customHeight="1" x14ac:dyDescent="0.45">
      <c r="A63" s="31"/>
      <c r="B63" s="13"/>
      <c r="C63" s="21"/>
      <c r="D63" s="19"/>
      <c r="E63" s="22"/>
      <c r="F63" s="34"/>
      <c r="G63" s="16"/>
      <c r="H63" s="26">
        <f t="shared" si="0"/>
        <v>0</v>
      </c>
    </row>
    <row r="64" spans="1:8" ht="25" customHeight="1" x14ac:dyDescent="0.45">
      <c r="A64" s="31"/>
      <c r="B64" s="13"/>
      <c r="C64" s="21"/>
      <c r="D64" s="19"/>
      <c r="E64" s="22"/>
      <c r="F64" s="34"/>
      <c r="G64" s="16"/>
      <c r="H64" s="26">
        <f t="shared" si="0"/>
        <v>0</v>
      </c>
    </row>
    <row r="65" spans="1:8" ht="25" customHeight="1" x14ac:dyDescent="0.45">
      <c r="A65" s="31"/>
      <c r="B65" s="13"/>
      <c r="C65" s="21"/>
      <c r="D65" s="19"/>
      <c r="E65" s="22"/>
      <c r="F65" s="34"/>
      <c r="G65" s="16"/>
      <c r="H65" s="26">
        <f t="shared" si="0"/>
        <v>0</v>
      </c>
    </row>
    <row r="66" spans="1:8" ht="25" customHeight="1" x14ac:dyDescent="0.45">
      <c r="A66" s="31"/>
      <c r="B66" s="13"/>
      <c r="C66" s="21"/>
      <c r="D66" s="19"/>
      <c r="E66" s="22"/>
      <c r="F66" s="34"/>
      <c r="G66" s="16"/>
      <c r="H66" s="26">
        <f t="shared" si="0"/>
        <v>0</v>
      </c>
    </row>
    <row r="67" spans="1:8" ht="25" customHeight="1" x14ac:dyDescent="0.45">
      <c r="A67" s="31"/>
      <c r="B67" s="13"/>
      <c r="C67" s="21"/>
      <c r="D67" s="19"/>
      <c r="E67" s="22"/>
      <c r="F67" s="34"/>
      <c r="G67" s="16"/>
      <c r="H67" s="26">
        <f t="shared" si="0"/>
        <v>0</v>
      </c>
    </row>
    <row r="68" spans="1:8" ht="25" customHeight="1" x14ac:dyDescent="0.45">
      <c r="A68" s="31"/>
      <c r="B68" s="13"/>
      <c r="C68" s="21"/>
      <c r="D68" s="19"/>
      <c r="E68" s="22"/>
      <c r="F68" s="34"/>
      <c r="G68" s="16"/>
      <c r="H68" s="26">
        <f t="shared" si="0"/>
        <v>0</v>
      </c>
    </row>
    <row r="69" spans="1:8" ht="25" customHeight="1" x14ac:dyDescent="0.45">
      <c r="A69" s="31"/>
      <c r="B69" s="13"/>
      <c r="C69" s="21"/>
      <c r="D69" s="19"/>
      <c r="E69" s="22"/>
      <c r="F69" s="34"/>
      <c r="G69" s="16"/>
      <c r="H69" s="26">
        <f t="shared" si="0"/>
        <v>0</v>
      </c>
    </row>
    <row r="70" spans="1:8" ht="25" customHeight="1" x14ac:dyDescent="0.45">
      <c r="A70" s="31"/>
      <c r="B70" s="13"/>
      <c r="C70" s="21"/>
      <c r="D70" s="19"/>
      <c r="E70" s="22"/>
      <c r="F70" s="34"/>
      <c r="G70" s="16"/>
      <c r="H70" s="26">
        <f t="shared" si="0"/>
        <v>0</v>
      </c>
    </row>
    <row r="71" spans="1:8" ht="25" customHeight="1" x14ac:dyDescent="0.45">
      <c r="A71" s="31"/>
      <c r="B71" s="13"/>
      <c r="C71" s="21"/>
      <c r="D71" s="19"/>
      <c r="E71" s="22"/>
      <c r="F71" s="34"/>
      <c r="G71" s="16"/>
      <c r="H71" s="26">
        <f t="shared" si="0"/>
        <v>0</v>
      </c>
    </row>
    <row r="72" spans="1:8" ht="25" customHeight="1" x14ac:dyDescent="0.45">
      <c r="A72" s="31"/>
      <c r="B72" s="13"/>
      <c r="C72" s="21"/>
      <c r="D72" s="19"/>
      <c r="E72" s="22"/>
      <c r="F72" s="34"/>
      <c r="G72" s="16"/>
      <c r="H72" s="26">
        <f t="shared" si="0"/>
        <v>0</v>
      </c>
    </row>
    <row r="73" spans="1:8" ht="25" customHeight="1" x14ac:dyDescent="0.45">
      <c r="A73" s="31"/>
      <c r="B73" s="13"/>
      <c r="C73" s="21"/>
      <c r="D73" s="19"/>
      <c r="E73" s="22"/>
      <c r="F73" s="34"/>
      <c r="G73" s="16"/>
      <c r="H73" s="26">
        <f t="shared" ref="H73:H79" si="1">(E73-D73)*24</f>
        <v>0</v>
      </c>
    </row>
    <row r="74" spans="1:8" ht="25" customHeight="1" x14ac:dyDescent="0.45">
      <c r="A74" s="31"/>
      <c r="B74" s="13"/>
      <c r="C74" s="21"/>
      <c r="D74" s="19"/>
      <c r="E74" s="22"/>
      <c r="F74" s="34"/>
      <c r="G74" s="16"/>
      <c r="H74" s="26">
        <f t="shared" si="1"/>
        <v>0</v>
      </c>
    </row>
    <row r="75" spans="1:8" ht="25" customHeight="1" x14ac:dyDescent="0.45">
      <c r="A75" s="31"/>
      <c r="B75" s="13"/>
      <c r="C75" s="21"/>
      <c r="D75" s="19"/>
      <c r="E75" s="22"/>
      <c r="F75" s="34"/>
      <c r="G75" s="16"/>
      <c r="H75" s="26">
        <f t="shared" si="1"/>
        <v>0</v>
      </c>
    </row>
    <row r="76" spans="1:8" ht="25" customHeight="1" x14ac:dyDescent="0.45">
      <c r="A76" s="31"/>
      <c r="B76" s="13"/>
      <c r="C76" s="21"/>
      <c r="D76" s="19"/>
      <c r="E76" s="22"/>
      <c r="F76" s="34"/>
      <c r="G76" s="16"/>
      <c r="H76" s="26">
        <f t="shared" si="1"/>
        <v>0</v>
      </c>
    </row>
    <row r="77" spans="1:8" ht="25" customHeight="1" x14ac:dyDescent="0.45">
      <c r="A77" s="31"/>
      <c r="B77" s="13"/>
      <c r="C77" s="21"/>
      <c r="D77" s="19"/>
      <c r="E77" s="22"/>
      <c r="F77" s="34"/>
      <c r="G77" s="16"/>
      <c r="H77" s="26">
        <f t="shared" si="1"/>
        <v>0</v>
      </c>
    </row>
    <row r="78" spans="1:8" ht="25" customHeight="1" x14ac:dyDescent="0.45">
      <c r="A78" s="31"/>
      <c r="B78" s="13"/>
      <c r="C78" s="21"/>
      <c r="D78" s="19"/>
      <c r="E78" s="22"/>
      <c r="F78" s="34"/>
      <c r="G78" s="16"/>
      <c r="H78" s="26">
        <f t="shared" si="1"/>
        <v>0</v>
      </c>
    </row>
    <row r="79" spans="1:8" ht="25" customHeight="1" thickBot="1" x14ac:dyDescent="0.5">
      <c r="A79" s="32"/>
      <c r="B79" s="14"/>
      <c r="C79" s="23"/>
      <c r="D79" s="24"/>
      <c r="E79" s="25"/>
      <c r="F79" s="35"/>
      <c r="G79" s="17"/>
      <c r="H79" s="27">
        <f t="shared" si="1"/>
        <v>0</v>
      </c>
    </row>
    <row r="80" spans="1:8" ht="25" customHeight="1" x14ac:dyDescent="0.45">
      <c r="F80" s="29"/>
      <c r="H80" s="28">
        <f>SUM(H7:H79)</f>
        <v>-5.4999999999999973</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B4" sqref="B4:D4"/>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c r="C2" s="51"/>
      <c r="D2" s="52"/>
      <c r="E2" s="44" t="s">
        <v>31</v>
      </c>
      <c r="F2" s="45"/>
      <c r="G2" s="45"/>
    </row>
    <row r="3" spans="1:9" ht="25" customHeight="1" x14ac:dyDescent="0.35">
      <c r="A3" s="36" t="s">
        <v>4</v>
      </c>
      <c r="B3" s="53"/>
      <c r="C3" s="54"/>
      <c r="D3" s="55"/>
      <c r="E3" s="46"/>
      <c r="F3" s="47"/>
      <c r="G3" s="47"/>
    </row>
    <row r="4" spans="1:9" ht="25" customHeight="1" thickBot="1" x14ac:dyDescent="0.4">
      <c r="A4" s="36" t="s">
        <v>5</v>
      </c>
      <c r="B4" s="56" t="s">
        <v>32</v>
      </c>
      <c r="C4" s="42"/>
      <c r="D4" s="43"/>
      <c r="E4" s="46"/>
      <c r="F4" s="47"/>
      <c r="G4" s="47"/>
    </row>
    <row r="5" spans="1:9" ht="59.5" customHeight="1" thickBot="1" x14ac:dyDescent="0.4">
      <c r="A5" s="37" t="s">
        <v>7</v>
      </c>
      <c r="B5" s="56" t="s">
        <v>33</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topLeftCell="F1" zoomScale="85" zoomScaleNormal="85" workbookViewId="0">
      <selection activeCell="G7" sqref="G7:G10"/>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t="s">
        <v>2</v>
      </c>
      <c r="C2" s="51"/>
      <c r="D2" s="52"/>
      <c r="E2" s="44" t="s">
        <v>34</v>
      </c>
      <c r="F2" s="45"/>
      <c r="G2" s="45"/>
    </row>
    <row r="3" spans="1:9" ht="25" customHeight="1" x14ac:dyDescent="0.35">
      <c r="A3" s="36" t="s">
        <v>4</v>
      </c>
      <c r="B3" s="53">
        <v>301592865</v>
      </c>
      <c r="C3" s="54"/>
      <c r="D3" s="55"/>
      <c r="E3" s="46"/>
      <c r="F3" s="47"/>
      <c r="G3" s="47"/>
    </row>
    <row r="4" spans="1:9" ht="25" customHeight="1" thickBot="1" x14ac:dyDescent="0.4">
      <c r="A4" s="36" t="s">
        <v>5</v>
      </c>
      <c r="B4" s="56" t="s">
        <v>6</v>
      </c>
      <c r="C4" s="42"/>
      <c r="D4" s="43"/>
      <c r="E4" s="46"/>
      <c r="F4" s="47"/>
      <c r="G4" s="47"/>
    </row>
    <row r="5" spans="1:9" ht="59.5" customHeight="1" thickBot="1" x14ac:dyDescent="0.4">
      <c r="A5" s="37" t="s">
        <v>7</v>
      </c>
      <c r="B5" s="41">
        <v>0.33</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x14ac:dyDescent="0.35">
      <c r="A7" s="30"/>
      <c r="B7" s="12">
        <v>2865</v>
      </c>
      <c r="C7" s="18">
        <v>45963</v>
      </c>
      <c r="D7" s="19">
        <v>0.74027777777777781</v>
      </c>
      <c r="E7" s="20">
        <v>0.75</v>
      </c>
      <c r="F7" s="33"/>
      <c r="G7" s="15" t="s">
        <v>35</v>
      </c>
      <c r="H7" s="11">
        <f t="shared" ref="H7" si="0">(E7-D7)*24</f>
        <v>0.2333333333333325</v>
      </c>
      <c r="I7" s="9"/>
    </row>
    <row r="8" spans="1:9" ht="25" customHeight="1" x14ac:dyDescent="0.45">
      <c r="A8" s="31"/>
      <c r="B8" s="13">
        <v>2865</v>
      </c>
      <c r="C8" s="21">
        <v>45963</v>
      </c>
      <c r="D8" s="19">
        <v>0.75</v>
      </c>
      <c r="E8" s="22">
        <v>0.76875000000000004</v>
      </c>
      <c r="F8" s="34"/>
      <c r="G8" s="16" t="s">
        <v>36</v>
      </c>
      <c r="H8" s="26">
        <f>(E8-D8)*24</f>
        <v>0.45000000000000107</v>
      </c>
    </row>
    <row r="9" spans="1:9" ht="25" customHeight="1" x14ac:dyDescent="0.45">
      <c r="A9" s="31"/>
      <c r="B9" s="13">
        <v>2865</v>
      </c>
      <c r="C9" s="21">
        <v>45963</v>
      </c>
      <c r="D9" s="19">
        <v>0.77083333333333337</v>
      </c>
      <c r="E9" s="22">
        <v>0.77986111111111112</v>
      </c>
      <c r="F9" s="34"/>
      <c r="G9" s="16" t="s">
        <v>37</v>
      </c>
      <c r="H9" s="26">
        <f>(E9-D9)*24</f>
        <v>0.2166666666666659</v>
      </c>
    </row>
    <row r="10" spans="1:9" ht="25" customHeight="1" x14ac:dyDescent="0.45">
      <c r="A10" s="31"/>
      <c r="B10" s="13">
        <v>2865</v>
      </c>
      <c r="C10" s="21">
        <v>45963</v>
      </c>
      <c r="D10" s="19">
        <v>0.79166666666666663</v>
      </c>
      <c r="E10" s="22">
        <v>0.80694444444444446</v>
      </c>
      <c r="F10" s="34"/>
      <c r="G10" s="16" t="s">
        <v>38</v>
      </c>
      <c r="H10" s="26">
        <f>(E10-D10)*24</f>
        <v>0.36666666666666803</v>
      </c>
    </row>
    <row r="11" spans="1:9" ht="25" customHeight="1" x14ac:dyDescent="0.45">
      <c r="A11" s="31"/>
      <c r="B11" s="13"/>
      <c r="C11" s="21"/>
      <c r="D11" s="19"/>
      <c r="E11" s="22"/>
      <c r="F11" s="34"/>
      <c r="G11" s="16"/>
      <c r="H11" s="26">
        <f t="shared" ref="H11:H72" si="1">(E11-D11)*24</f>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1.2666666666666675</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tabSelected="1" topLeftCell="G9" zoomScale="85" zoomScaleNormal="85" workbookViewId="0">
      <selection activeCell="G20" sqref="G20"/>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t="s">
        <v>2</v>
      </c>
      <c r="C2" s="51"/>
      <c r="D2" s="52"/>
      <c r="E2" s="44" t="s">
        <v>39</v>
      </c>
      <c r="F2" s="45"/>
      <c r="G2" s="45"/>
    </row>
    <row r="3" spans="1:9" ht="25" customHeight="1" x14ac:dyDescent="0.35">
      <c r="A3" s="36" t="s">
        <v>4</v>
      </c>
      <c r="B3" s="53">
        <v>301592865</v>
      </c>
      <c r="C3" s="54"/>
      <c r="D3" s="55"/>
      <c r="E3" s="46"/>
      <c r="F3" s="47"/>
      <c r="G3" s="47"/>
    </row>
    <row r="4" spans="1:9" ht="25" customHeight="1" thickBot="1" x14ac:dyDescent="0.4">
      <c r="A4" s="36" t="s">
        <v>5</v>
      </c>
      <c r="B4" s="56" t="s">
        <v>6</v>
      </c>
      <c r="C4" s="42"/>
      <c r="D4" s="43"/>
      <c r="E4" s="46"/>
      <c r="F4" s="47"/>
      <c r="G4" s="47"/>
    </row>
    <row r="5" spans="1:9" ht="59.5" customHeight="1" thickBot="1" x14ac:dyDescent="0.4">
      <c r="A5" s="37" t="s">
        <v>7</v>
      </c>
      <c r="B5" s="41">
        <v>0.33</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x14ac:dyDescent="0.35">
      <c r="A7" s="30"/>
      <c r="B7" s="12">
        <v>2865</v>
      </c>
      <c r="C7" s="18">
        <v>45973</v>
      </c>
      <c r="D7" s="19">
        <v>0.65347222222222223</v>
      </c>
      <c r="E7" s="20">
        <v>0.68055555555555558</v>
      </c>
      <c r="F7" s="33"/>
      <c r="G7" s="15" t="s">
        <v>41</v>
      </c>
      <c r="H7" s="11">
        <f t="shared" ref="H7" si="0">(E7-D7)*24</f>
        <v>0.65000000000000036</v>
      </c>
      <c r="I7" s="9"/>
    </row>
    <row r="8" spans="1:9" ht="25" customHeight="1" x14ac:dyDescent="0.45">
      <c r="A8" s="31"/>
      <c r="B8" s="13">
        <v>2865</v>
      </c>
      <c r="C8" s="21">
        <v>45973</v>
      </c>
      <c r="D8" s="19">
        <v>0.68055555555555558</v>
      </c>
      <c r="E8" s="22">
        <v>0.70972222222222225</v>
      </c>
      <c r="F8" s="34"/>
      <c r="G8" s="16" t="s">
        <v>42</v>
      </c>
      <c r="H8" s="26">
        <f>(E8-D8)*24</f>
        <v>0.70000000000000018</v>
      </c>
    </row>
    <row r="9" spans="1:9" ht="25" customHeight="1" x14ac:dyDescent="0.45">
      <c r="A9" s="31"/>
      <c r="B9" s="13">
        <v>2865</v>
      </c>
      <c r="C9" s="21">
        <v>45974</v>
      </c>
      <c r="D9" s="19">
        <v>0.78125</v>
      </c>
      <c r="E9" s="22">
        <v>0.85624999999999996</v>
      </c>
      <c r="F9" s="34"/>
      <c r="G9" s="16" t="s">
        <v>43</v>
      </c>
      <c r="H9" s="26">
        <f t="shared" ref="H9:H72" si="1">(E9-D9)*24</f>
        <v>1.7999999999999989</v>
      </c>
    </row>
    <row r="10" spans="1:9" ht="25" customHeight="1" x14ac:dyDescent="0.45">
      <c r="A10" s="31"/>
      <c r="B10" s="13">
        <v>2865</v>
      </c>
      <c r="C10" s="21">
        <v>45976</v>
      </c>
      <c r="D10" s="19">
        <v>0.79236111111111107</v>
      </c>
      <c r="E10" s="22">
        <v>0.91666666666666663</v>
      </c>
      <c r="F10" s="34"/>
      <c r="G10" s="16" t="s">
        <v>45</v>
      </c>
      <c r="H10" s="26">
        <f t="shared" si="1"/>
        <v>2.9833333333333334</v>
      </c>
    </row>
    <row r="11" spans="1:9" ht="25" customHeight="1" x14ac:dyDescent="0.45">
      <c r="A11" s="31"/>
      <c r="B11" s="13">
        <v>2865</v>
      </c>
      <c r="C11" s="21">
        <v>45976</v>
      </c>
      <c r="D11" s="19">
        <v>0.91666666666666663</v>
      </c>
      <c r="E11" s="22">
        <v>0.9506944444444444</v>
      </c>
      <c r="F11" s="34"/>
      <c r="G11" s="16" t="s">
        <v>44</v>
      </c>
      <c r="H11" s="26">
        <f t="shared" si="1"/>
        <v>0.81666666666666643</v>
      </c>
    </row>
    <row r="12" spans="1:9" ht="25" customHeight="1" x14ac:dyDescent="0.45">
      <c r="A12" s="31"/>
      <c r="B12" s="13">
        <v>2865</v>
      </c>
      <c r="C12" s="21">
        <v>45977</v>
      </c>
      <c r="D12" s="19">
        <v>0.53888888888888886</v>
      </c>
      <c r="E12" s="22">
        <v>0.58194444444444449</v>
      </c>
      <c r="F12" s="34"/>
      <c r="G12" s="16" t="s">
        <v>46</v>
      </c>
      <c r="H12" s="26">
        <f t="shared" si="1"/>
        <v>1.033333333333335</v>
      </c>
    </row>
    <row r="13" spans="1:9" ht="25" customHeight="1" x14ac:dyDescent="0.45">
      <c r="A13" s="31"/>
      <c r="B13" s="13">
        <v>2865</v>
      </c>
      <c r="C13" s="21">
        <v>45977</v>
      </c>
      <c r="D13" s="19">
        <v>0.58194444444444449</v>
      </c>
      <c r="E13" s="22">
        <v>0.58333333333333337</v>
      </c>
      <c r="F13" s="34"/>
      <c r="G13" s="16" t="s">
        <v>47</v>
      </c>
      <c r="H13" s="26">
        <f t="shared" si="1"/>
        <v>3.3333333333333215E-2</v>
      </c>
    </row>
    <row r="14" spans="1:9" ht="25" customHeight="1" x14ac:dyDescent="0.45">
      <c r="A14" s="31"/>
      <c r="B14" s="13">
        <v>2865</v>
      </c>
      <c r="C14" s="21">
        <v>45977</v>
      </c>
      <c r="D14" s="19">
        <v>0.58333333333333337</v>
      </c>
      <c r="E14" s="22">
        <v>0.65625</v>
      </c>
      <c r="F14" s="34"/>
      <c r="G14" s="16" t="s">
        <v>48</v>
      </c>
      <c r="H14" s="26">
        <f t="shared" si="1"/>
        <v>1.7499999999999991</v>
      </c>
    </row>
    <row r="15" spans="1:9" ht="25" customHeight="1" x14ac:dyDescent="0.45">
      <c r="A15" s="31"/>
      <c r="B15" s="13">
        <v>2865</v>
      </c>
      <c r="C15" s="21">
        <v>45977</v>
      </c>
      <c r="D15" s="19">
        <v>0.68333333333333335</v>
      </c>
      <c r="E15" s="22">
        <v>0.72986111111111107</v>
      </c>
      <c r="F15" s="34"/>
      <c r="G15" s="16" t="s">
        <v>49</v>
      </c>
      <c r="H15" s="26">
        <f t="shared" si="1"/>
        <v>1.1166666666666654</v>
      </c>
    </row>
    <row r="16" spans="1:9" ht="25" customHeight="1" x14ac:dyDescent="0.45">
      <c r="A16" s="31"/>
      <c r="B16" s="13">
        <v>2865</v>
      </c>
      <c r="C16" s="21">
        <v>45977</v>
      </c>
      <c r="D16" s="19">
        <v>0.72986111111111107</v>
      </c>
      <c r="E16" s="22">
        <v>0.79097222222222219</v>
      </c>
      <c r="F16" s="34"/>
      <c r="G16" s="16" t="s">
        <v>50</v>
      </c>
      <c r="H16" s="26">
        <f t="shared" si="1"/>
        <v>1.4666666666666668</v>
      </c>
    </row>
    <row r="17" spans="1:8" ht="25" customHeight="1" x14ac:dyDescent="0.45">
      <c r="A17" s="31"/>
      <c r="B17" s="13">
        <v>2865</v>
      </c>
      <c r="C17" s="21">
        <v>45977</v>
      </c>
      <c r="D17" s="19">
        <v>0.84722222222222221</v>
      </c>
      <c r="E17" s="22">
        <v>0.90763888888888888</v>
      </c>
      <c r="F17" s="34"/>
      <c r="G17" s="16" t="s">
        <v>51</v>
      </c>
      <c r="H17" s="26">
        <f t="shared" si="1"/>
        <v>1.4500000000000002</v>
      </c>
    </row>
    <row r="18" spans="1:8" ht="25" customHeight="1" x14ac:dyDescent="0.45">
      <c r="A18" s="31"/>
      <c r="B18" s="13">
        <v>2865</v>
      </c>
      <c r="C18" s="21">
        <v>45977</v>
      </c>
      <c r="D18" s="19">
        <v>0.90763888888888888</v>
      </c>
      <c r="E18" s="22">
        <v>0.92569444444444449</v>
      </c>
      <c r="F18" s="34"/>
      <c r="G18" s="16" t="s">
        <v>52</v>
      </c>
      <c r="H18" s="26">
        <f t="shared" si="1"/>
        <v>0.43333333333333446</v>
      </c>
    </row>
    <row r="19" spans="1:8" ht="25" customHeight="1" x14ac:dyDescent="0.45">
      <c r="A19" s="31"/>
      <c r="B19" s="13">
        <v>2865</v>
      </c>
      <c r="C19" s="21">
        <v>45977</v>
      </c>
      <c r="D19" s="19">
        <v>0.92569444444444449</v>
      </c>
      <c r="E19" s="22">
        <v>0.94722222222222219</v>
      </c>
      <c r="F19" s="34"/>
      <c r="G19" s="16" t="s">
        <v>53</v>
      </c>
      <c r="H19" s="26">
        <f t="shared" si="1"/>
        <v>0.51666666666666483</v>
      </c>
    </row>
    <row r="20" spans="1:8" ht="25" customHeight="1" x14ac:dyDescent="0.45">
      <c r="A20" s="31"/>
      <c r="B20" s="13">
        <v>2865</v>
      </c>
      <c r="C20" s="21">
        <v>45977</v>
      </c>
      <c r="D20" s="19">
        <v>0.94722222222222219</v>
      </c>
      <c r="E20" s="22">
        <v>0.99027777777777781</v>
      </c>
      <c r="F20" s="34"/>
      <c r="G20" s="16" t="s">
        <v>54</v>
      </c>
      <c r="H20" s="26">
        <f t="shared" si="1"/>
        <v>1.033333333333335</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15.783333333333331</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zoomScale="85" zoomScaleNormal="85" workbookViewId="0">
      <selection activeCell="E15" sqref="E15"/>
    </sheetView>
  </sheetViews>
  <sheetFormatPr defaultColWidth="8.90625" defaultRowHeight="14.5" x14ac:dyDescent="0.35"/>
  <cols>
    <col min="1" max="1" width="37.26953125" customWidth="1"/>
    <col min="2" max="2" width="15.7265625" customWidth="1"/>
    <col min="3" max="3" width="15.7265625" style="2" customWidth="1"/>
    <col min="4" max="5" width="15.7265625" style="7" customWidth="1"/>
    <col min="6" max="6" width="15.7265625" customWidth="1"/>
    <col min="7" max="7" width="189.36328125" customWidth="1"/>
    <col min="8" max="8" width="15.7265625" customWidth="1"/>
    <col min="9" max="9" width="26" customWidth="1"/>
    <col min="10" max="33" width="15.7265625" customWidth="1"/>
  </cols>
  <sheetData>
    <row r="1" spans="1:9" ht="94.4" customHeight="1" thickBot="1" x14ac:dyDescent="0.4">
      <c r="A1" s="38" t="s">
        <v>0</v>
      </c>
      <c r="B1" s="39"/>
      <c r="C1" s="39"/>
      <c r="D1" s="39"/>
      <c r="E1" s="39"/>
      <c r="F1" s="39"/>
      <c r="G1" s="39"/>
      <c r="H1" s="40"/>
    </row>
    <row r="2" spans="1:9" ht="25" customHeight="1" x14ac:dyDescent="0.35">
      <c r="A2" s="36" t="s">
        <v>1</v>
      </c>
      <c r="B2" s="50"/>
      <c r="C2" s="51"/>
      <c r="D2" s="52"/>
      <c r="E2" s="44" t="s">
        <v>40</v>
      </c>
      <c r="F2" s="45"/>
      <c r="G2" s="45"/>
    </row>
    <row r="3" spans="1:9" ht="25" customHeight="1" x14ac:dyDescent="0.35">
      <c r="A3" s="36" t="s">
        <v>4</v>
      </c>
      <c r="B3" s="53"/>
      <c r="C3" s="54"/>
      <c r="D3" s="55"/>
      <c r="E3" s="46"/>
      <c r="F3" s="47"/>
      <c r="G3" s="47"/>
    </row>
    <row r="4" spans="1:9" ht="25" customHeight="1" thickBot="1" x14ac:dyDescent="0.4">
      <c r="A4" s="36" t="s">
        <v>5</v>
      </c>
      <c r="B4" s="56" t="s">
        <v>32</v>
      </c>
      <c r="C4" s="42"/>
      <c r="D4" s="43"/>
      <c r="E4" s="46"/>
      <c r="F4" s="47"/>
      <c r="G4" s="47"/>
    </row>
    <row r="5" spans="1:9" ht="59.5" customHeight="1" thickBot="1" x14ac:dyDescent="0.4">
      <c r="A5" s="37" t="s">
        <v>7</v>
      </c>
      <c r="B5" s="56" t="s">
        <v>33</v>
      </c>
      <c r="C5" s="42"/>
      <c r="D5" s="43"/>
      <c r="E5" s="48"/>
      <c r="F5" s="49"/>
      <c r="G5" s="49"/>
    </row>
    <row r="6" spans="1:9" s="1" customFormat="1" ht="25" customHeight="1" thickBot="1" x14ac:dyDescent="0.4">
      <c r="A6" s="3" t="s">
        <v>8</v>
      </c>
      <c r="B6" s="4" t="s">
        <v>9</v>
      </c>
      <c r="C6" s="5" t="s">
        <v>10</v>
      </c>
      <c r="D6" s="10" t="s">
        <v>11</v>
      </c>
      <c r="E6" s="8" t="s">
        <v>12</v>
      </c>
      <c r="F6" s="4" t="s">
        <v>8</v>
      </c>
      <c r="G6" s="6" t="s">
        <v>13</v>
      </c>
      <c r="H6" s="4" t="s">
        <v>14</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subject/>
  <dc:creator>© Lakshman One</dc:creator>
  <cp:keywords/>
  <dc:description/>
  <cp:lastModifiedBy>Pius Lee</cp:lastModifiedBy>
  <cp:revision/>
  <dcterms:created xsi:type="dcterms:W3CDTF">2020-03-26T16:58:46Z</dcterms:created>
  <dcterms:modified xsi:type="dcterms:W3CDTF">2025-11-17T07:58:33Z</dcterms:modified>
  <cp:category/>
  <cp:contentStatus/>
</cp:coreProperties>
</file>