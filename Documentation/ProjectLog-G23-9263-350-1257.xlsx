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taylo\OneDrive\Desktop\ENSC350\DP2\Documentation\"/>
    </mc:Choice>
  </mc:AlternateContent>
  <xr:revisionPtr revIDLastSave="0" documentId="13_ncr:1_{011004B8-9E20-4075-B2AD-36E91819ABE6}" xr6:coauthVersionLast="47" xr6:coauthVersionMax="47" xr10:uidLastSave="{00000000-0000-0000-0000-000000000000}"/>
  <workbookProtection workbookAlgorithmName="SHA-512" workbookHashValue="uphip+fyQmgTbQWVslgKndYGTCUT2nMCnU8pTyuiPxh9t3MkaNQeLeeV1eDZUH8uYM8JtsIZJzZApwnnbRUEcA==" workbookSaltValue="PVE5+bPUyqyV9jE5EaqSxw==" workbookSpinCount="100000" lockStructure="1"/>
  <bookViews>
    <workbookView xWindow="-110" yWindow="-110" windowWidth="22780" windowHeight="14540" activeTab="4" xr2:uid="{5C666647-60C4-4C14-A5E1-8900F85EBB7F}"/>
  </bookViews>
  <sheets>
    <sheet name="DP1.0" sheetId="5" r:id="rId1"/>
    <sheet name="DP1.1" sheetId="6" r:id="rId2"/>
    <sheet name="DP1.2" sheetId="7" r:id="rId3"/>
    <sheet name="DP2.0" sheetId="9" r:id="rId4"/>
    <sheet name="DP2.1" sheetId="10" r:id="rId5"/>
    <sheet name="FP" sheetId="1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9" i="11" l="1"/>
  <c r="H78" i="11"/>
  <c r="H77" i="11"/>
  <c r="H76" i="11"/>
  <c r="H75" i="11"/>
  <c r="H74" i="11"/>
  <c r="H73" i="11"/>
  <c r="H72" i="11"/>
  <c r="H71" i="11"/>
  <c r="H70" i="11"/>
  <c r="H69" i="11"/>
  <c r="H68" i="11"/>
  <c r="H67" i="11"/>
  <c r="H66" i="11"/>
  <c r="H65" i="11"/>
  <c r="H64"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80" i="11" s="1"/>
  <c r="H79" i="10"/>
  <c r="H78" i="10"/>
  <c r="H77" i="10"/>
  <c r="H76" i="10"/>
  <c r="H75" i="10"/>
  <c r="H74" i="10"/>
  <c r="H73" i="10"/>
  <c r="H72" i="10"/>
  <c r="H71" i="10"/>
  <c r="H70" i="10"/>
  <c r="H69" i="10"/>
  <c r="H68" i="10"/>
  <c r="H67" i="10"/>
  <c r="H66" i="10"/>
  <c r="H65" i="10"/>
  <c r="H64" i="10"/>
  <c r="H63" i="10"/>
  <c r="H62" i="10"/>
  <c r="H61" i="10"/>
  <c r="H60" i="10"/>
  <c r="H59" i="10"/>
  <c r="H58" i="10"/>
  <c r="H57" i="10"/>
  <c r="H56" i="10"/>
  <c r="H55" i="10"/>
  <c r="H54" i="10"/>
  <c r="H53" i="10"/>
  <c r="H52" i="10"/>
  <c r="H51" i="10"/>
  <c r="H50" i="10"/>
  <c r="H49" i="10"/>
  <c r="H48" i="10"/>
  <c r="H47" i="10"/>
  <c r="H46" i="10"/>
  <c r="H45" i="10"/>
  <c r="H44" i="10"/>
  <c r="H43" i="10"/>
  <c r="H42" i="10"/>
  <c r="H41" i="10"/>
  <c r="H40" i="10"/>
  <c r="H39" i="10"/>
  <c r="H38" i="10"/>
  <c r="H37" i="10"/>
  <c r="H36" i="10"/>
  <c r="H35" i="10"/>
  <c r="H34" i="10"/>
  <c r="H33" i="10"/>
  <c r="H32" i="10"/>
  <c r="H31" i="10"/>
  <c r="H30" i="10"/>
  <c r="H29" i="10"/>
  <c r="H28" i="10"/>
  <c r="H27" i="10"/>
  <c r="H26" i="10"/>
  <c r="H25" i="10"/>
  <c r="H24" i="10"/>
  <c r="H23" i="10"/>
  <c r="H22" i="10"/>
  <c r="H21" i="10"/>
  <c r="H20" i="10"/>
  <c r="H19" i="10"/>
  <c r="H18" i="10"/>
  <c r="H17" i="10"/>
  <c r="H16" i="10"/>
  <c r="H15" i="10"/>
  <c r="H14" i="10"/>
  <c r="H13" i="10"/>
  <c r="H12" i="10"/>
  <c r="H11" i="10"/>
  <c r="H10" i="10"/>
  <c r="H9" i="10"/>
  <c r="H8" i="10"/>
  <c r="H7" i="10"/>
  <c r="H79" i="9"/>
  <c r="H78" i="9"/>
  <c r="H77" i="9"/>
  <c r="H76" i="9"/>
  <c r="H75" i="9"/>
  <c r="H74" i="9"/>
  <c r="H73" i="9"/>
  <c r="H72" i="9"/>
  <c r="H71" i="9"/>
  <c r="H70" i="9"/>
  <c r="H69" i="9"/>
  <c r="H68" i="9"/>
  <c r="H67" i="9"/>
  <c r="H66" i="9"/>
  <c r="H65" i="9"/>
  <c r="H64" i="9"/>
  <c r="H63" i="9"/>
  <c r="H62" i="9"/>
  <c r="H61" i="9"/>
  <c r="H60" i="9"/>
  <c r="H59" i="9"/>
  <c r="H58" i="9"/>
  <c r="H57" i="9"/>
  <c r="H56" i="9"/>
  <c r="H55" i="9"/>
  <c r="H54" i="9"/>
  <c r="H53" i="9"/>
  <c r="H52" i="9"/>
  <c r="H51" i="9"/>
  <c r="H50" i="9"/>
  <c r="H49" i="9"/>
  <c r="H48" i="9"/>
  <c r="H47" i="9"/>
  <c r="H46" i="9"/>
  <c r="H45" i="9"/>
  <c r="H44" i="9"/>
  <c r="H43" i="9"/>
  <c r="H42" i="9"/>
  <c r="H41" i="9"/>
  <c r="H40" i="9"/>
  <c r="H39" i="9"/>
  <c r="H38" i="9"/>
  <c r="H37" i="9"/>
  <c r="H36" i="9"/>
  <c r="H35" i="9"/>
  <c r="H34" i="9"/>
  <c r="H33" i="9"/>
  <c r="H32" i="9"/>
  <c r="H31" i="9"/>
  <c r="H30" i="9"/>
  <c r="H29" i="9"/>
  <c r="H28" i="9"/>
  <c r="H27" i="9"/>
  <c r="H26" i="9"/>
  <c r="H25" i="9"/>
  <c r="H24" i="9"/>
  <c r="H23" i="9"/>
  <c r="H22" i="9"/>
  <c r="H21" i="9"/>
  <c r="H20" i="9"/>
  <c r="H19" i="9"/>
  <c r="H18" i="9"/>
  <c r="H17" i="9"/>
  <c r="H16" i="9"/>
  <c r="H15" i="9"/>
  <c r="H14" i="9"/>
  <c r="H13" i="9"/>
  <c r="H12" i="9"/>
  <c r="H11" i="9"/>
  <c r="H10" i="9"/>
  <c r="H9" i="9"/>
  <c r="H8" i="9"/>
  <c r="H7" i="9"/>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30" i="7"/>
  <c r="H29" i="7"/>
  <c r="H28" i="7"/>
  <c r="H27" i="7"/>
  <c r="H26" i="7"/>
  <c r="H25" i="7"/>
  <c r="H24" i="7"/>
  <c r="H23" i="7"/>
  <c r="H22" i="7"/>
  <c r="H21" i="7"/>
  <c r="H20" i="7"/>
  <c r="H19" i="7"/>
  <c r="H18" i="7"/>
  <c r="H17" i="7"/>
  <c r="H16" i="7"/>
  <c r="H15" i="7"/>
  <c r="H14" i="7"/>
  <c r="H13" i="7"/>
  <c r="H12" i="7"/>
  <c r="H11" i="7"/>
  <c r="H10" i="7"/>
  <c r="H9" i="7"/>
  <c r="H8" i="7"/>
  <c r="H7" i="7"/>
  <c r="H79" i="6"/>
  <c r="H78" i="6"/>
  <c r="H77" i="6"/>
  <c r="H76" i="6"/>
  <c r="H75" i="6"/>
  <c r="H74" i="6"/>
  <c r="H73" i="6"/>
  <c r="H72" i="6"/>
  <c r="H71" i="6"/>
  <c r="H70" i="6"/>
  <c r="H69" i="6"/>
  <c r="H68" i="6"/>
  <c r="H67" i="6"/>
  <c r="H66" i="6"/>
  <c r="H65" i="6"/>
  <c r="H64" i="6"/>
  <c r="H63" i="6"/>
  <c r="H62" i="6"/>
  <c r="H61" i="6"/>
  <c r="H60" i="6"/>
  <c r="H59" i="6"/>
  <c r="H58" i="6"/>
  <c r="H57" i="6"/>
  <c r="H56" i="6"/>
  <c r="H55" i="6"/>
  <c r="H54" i="6"/>
  <c r="H53" i="6"/>
  <c r="H52" i="6"/>
  <c r="H51" i="6"/>
  <c r="H50" i="6"/>
  <c r="H49" i="6"/>
  <c r="H48" i="6"/>
  <c r="H47" i="6"/>
  <c r="H46" i="6"/>
  <c r="H45" i="6"/>
  <c r="H44" i="6"/>
  <c r="H43" i="6"/>
  <c r="H42" i="6"/>
  <c r="H41" i="6"/>
  <c r="H40" i="6"/>
  <c r="H39" i="6"/>
  <c r="H38" i="6"/>
  <c r="H37" i="6"/>
  <c r="H36" i="6"/>
  <c r="H35" i="6"/>
  <c r="H34" i="6"/>
  <c r="H33" i="6"/>
  <c r="H32" i="6"/>
  <c r="H31" i="6"/>
  <c r="H30" i="6"/>
  <c r="H29" i="6"/>
  <c r="H28" i="6"/>
  <c r="H27" i="6"/>
  <c r="H26" i="6"/>
  <c r="H25" i="6"/>
  <c r="H24" i="6"/>
  <c r="H23" i="6"/>
  <c r="H22" i="6"/>
  <c r="H21" i="6"/>
  <c r="H20" i="6"/>
  <c r="H19" i="6"/>
  <c r="H18" i="6"/>
  <c r="H17" i="6"/>
  <c r="H16" i="6"/>
  <c r="H15" i="6"/>
  <c r="H14" i="6"/>
  <c r="H13" i="6"/>
  <c r="H12" i="6"/>
  <c r="H11" i="6"/>
  <c r="H10" i="6"/>
  <c r="H9" i="6"/>
  <c r="H8" i="6"/>
  <c r="H7" i="6"/>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H8" i="5"/>
  <c r="H7" i="5"/>
  <c r="H80" i="10" l="1"/>
  <c r="H80" i="9"/>
  <c r="H80" i="7"/>
  <c r="H80" i="6"/>
  <c r="H80" i="5"/>
</calcChain>
</file>

<file path=xl/sharedStrings.xml><?xml version="1.0" encoding="utf-8"?>
<sst xmlns="http://schemas.openxmlformats.org/spreadsheetml/2006/main" count="117" uniqueCount="42">
  <si>
    <t>last  4 digits</t>
  </si>
  <si>
    <t>date</t>
  </si>
  <si>
    <t>starttime</t>
  </si>
  <si>
    <t>endtime</t>
  </si>
  <si>
    <t>Group Number:</t>
  </si>
  <si>
    <t>Full Student Number:</t>
  </si>
  <si>
    <t>Student Name:</t>
  </si>
  <si>
    <t>rsvd</t>
  </si>
  <si>
    <t>Duration</t>
  </si>
  <si>
    <t>Gxx</t>
  </si>
  <si>
    <r>
      <t xml:space="preserve">description of Micro-Activity </t>
    </r>
    <r>
      <rPr>
        <sz val="11"/>
        <color theme="1"/>
        <rFont val="Times New Roman"/>
        <family val="1"/>
      </rPr>
      <t>( include relevant facts and details)</t>
    </r>
  </si>
  <si>
    <t>Members Relative Contribution:
(estimate your contribution to this phase of the project)</t>
  </si>
  <si>
    <t>%</t>
  </si>
  <si>
    <r>
      <t xml:space="preserve">Activity Log for </t>
    </r>
    <r>
      <rPr>
        <b/>
        <sz val="36"/>
        <color rgb="FF7030A0"/>
        <rFont val="Times New Roman"/>
        <family val="1"/>
      </rPr>
      <t>First Design Project 1.0</t>
    </r>
    <r>
      <rPr>
        <sz val="36"/>
        <color rgb="FFFF0000"/>
        <rFont val="Calibri"/>
        <family val="2"/>
        <scheme val="minor"/>
      </rPr>
      <t xml:space="preserve"> </t>
    </r>
    <r>
      <rPr>
        <sz val="26"/>
        <color theme="1"/>
        <rFont val="Calibri"/>
        <family val="2"/>
        <scheme val="minor"/>
      </rPr>
      <t>(organisation &amp; template reports)</t>
    </r>
  </si>
  <si>
    <r>
      <t xml:space="preserve">Activity Log for </t>
    </r>
    <r>
      <rPr>
        <b/>
        <sz val="36"/>
        <color rgb="FF7030A0"/>
        <rFont val="Times New Roman"/>
        <family val="1"/>
      </rPr>
      <t>First Design Project 1.1</t>
    </r>
    <r>
      <rPr>
        <sz val="36"/>
        <color rgb="FFFF0000"/>
        <rFont val="Calibri"/>
        <family val="2"/>
        <scheme val="minor"/>
      </rPr>
      <t xml:space="preserve"> </t>
    </r>
    <r>
      <rPr>
        <sz val="26"/>
        <color theme="1"/>
        <rFont val="Calibri"/>
        <family val="2"/>
        <scheme val="minor"/>
      </rPr>
      <t>(project research, development &amp; documentation)</t>
    </r>
  </si>
  <si>
    <r>
      <t xml:space="preserve">Activity Log for </t>
    </r>
    <r>
      <rPr>
        <b/>
        <sz val="36"/>
        <color rgb="FF7030A0"/>
        <rFont val="Times New Roman"/>
        <family val="1"/>
      </rPr>
      <t>First Design Project 1.2</t>
    </r>
    <r>
      <rPr>
        <sz val="36"/>
        <color rgb="FFFF0000"/>
        <rFont val="Calibri"/>
        <family val="2"/>
        <scheme val="minor"/>
      </rPr>
      <t xml:space="preserve"> </t>
    </r>
    <r>
      <rPr>
        <sz val="26"/>
        <color theme="1"/>
        <rFont val="Calibri"/>
        <family val="2"/>
        <scheme val="minor"/>
      </rPr>
      <t>(project revision)</t>
    </r>
  </si>
  <si>
    <r>
      <t xml:space="preserve">Activity Log for </t>
    </r>
    <r>
      <rPr>
        <b/>
        <sz val="36"/>
        <color rgb="FF7030A0"/>
        <rFont val="Times New Roman"/>
        <family val="1"/>
      </rPr>
      <t>Second Design Project 2.0</t>
    </r>
    <r>
      <rPr>
        <sz val="36"/>
        <color rgb="FFFF0000"/>
        <rFont val="Calibri"/>
        <family val="2"/>
        <scheme val="minor"/>
      </rPr>
      <t xml:space="preserve"> </t>
    </r>
    <r>
      <rPr>
        <sz val="26"/>
        <color theme="1"/>
        <rFont val="Calibri"/>
        <family val="2"/>
        <scheme val="minor"/>
      </rPr>
      <t>(organisation &amp; template reports)</t>
    </r>
  </si>
  <si>
    <r>
      <t xml:space="preserve">Activity Log for </t>
    </r>
    <r>
      <rPr>
        <b/>
        <sz val="36"/>
        <color rgb="FF7030A0"/>
        <rFont val="Times New Roman"/>
        <family val="1"/>
      </rPr>
      <t>Second Design Project 2.1</t>
    </r>
    <r>
      <rPr>
        <sz val="36"/>
        <color rgb="FFFF0000"/>
        <rFont val="Calibri"/>
        <family val="2"/>
        <scheme val="minor"/>
      </rPr>
      <t xml:space="preserve"> </t>
    </r>
    <r>
      <rPr>
        <sz val="26"/>
        <color theme="1"/>
        <rFont val="Calibri"/>
        <family val="2"/>
        <scheme val="minor"/>
      </rPr>
      <t>(project research, development &amp; documentation)</t>
    </r>
  </si>
  <si>
    <r>
      <t xml:space="preserve">Activity Log for </t>
    </r>
    <r>
      <rPr>
        <b/>
        <sz val="36"/>
        <color rgb="FF7030A0"/>
        <rFont val="Times New Roman"/>
        <family val="1"/>
      </rPr>
      <t>Final Project</t>
    </r>
    <r>
      <rPr>
        <sz val="36"/>
        <color rgb="FFFF0000"/>
        <rFont val="Calibri"/>
        <family val="2"/>
        <scheme val="minor"/>
      </rPr>
      <t xml:space="preserve"> </t>
    </r>
    <r>
      <rPr>
        <sz val="26"/>
        <color theme="1"/>
        <rFont val="Calibri"/>
        <family val="2"/>
        <scheme val="minor"/>
      </rPr>
      <t>(project research, development &amp; documentation)</t>
    </r>
  </si>
  <si>
    <r>
      <rPr>
        <b/>
        <u/>
        <sz val="16"/>
        <color theme="1"/>
        <rFont val="Calibri"/>
        <family val="2"/>
        <scheme val="minor"/>
      </rPr>
      <t>Micro-Activities</t>
    </r>
    <r>
      <rPr>
        <sz val="16"/>
        <color theme="1"/>
        <rFont val="Calibri"/>
        <family val="2"/>
        <scheme val="minor"/>
      </rPr>
      <t xml:space="preserve">:
1) List of activites that are typically </t>
    </r>
    <r>
      <rPr>
        <b/>
        <sz val="16"/>
        <color rgb="FFC00000"/>
        <rFont val="Calibri"/>
        <family val="2"/>
        <scheme val="minor"/>
      </rPr>
      <t>half-an-hour to two hours</t>
    </r>
    <r>
      <rPr>
        <sz val="16"/>
        <color theme="1"/>
        <rFont val="Calibri"/>
        <family val="2"/>
        <scheme val="minor"/>
      </rPr>
      <t xml:space="preserve"> in duration; include relevant facts &amp; details.
2) Ensure that you make a log entry </t>
    </r>
    <r>
      <rPr>
        <b/>
        <sz val="16"/>
        <color rgb="FFC00000"/>
        <rFont val="Calibri"/>
        <family val="2"/>
        <scheme val="minor"/>
      </rPr>
      <t>at least every two hours</t>
    </r>
    <r>
      <rPr>
        <sz val="16"/>
        <color theme="1"/>
        <rFont val="Calibri"/>
        <family val="2"/>
        <scheme val="minor"/>
      </rPr>
      <t xml:space="preserve">.
3)  </t>
    </r>
    <r>
      <rPr>
        <b/>
        <sz val="16"/>
        <color rgb="FFC00000"/>
        <rFont val="Calibri"/>
        <family val="2"/>
        <scheme val="minor"/>
      </rPr>
      <t>If</t>
    </r>
    <r>
      <rPr>
        <sz val="16"/>
        <color theme="1"/>
        <rFont val="Calibri"/>
        <family val="2"/>
        <scheme val="minor"/>
      </rPr>
      <t xml:space="preserve"> a task takes many hours, </t>
    </r>
    <r>
      <rPr>
        <b/>
        <sz val="16"/>
        <color rgb="FFC00000"/>
        <rFont val="Calibri"/>
        <family val="2"/>
        <scheme val="minor"/>
      </rPr>
      <t>break up the activies</t>
    </r>
    <r>
      <rPr>
        <sz val="16"/>
        <color theme="1"/>
        <rFont val="Calibri"/>
        <family val="2"/>
        <scheme val="minor"/>
      </rPr>
      <t xml:space="preserve"> into multiple log entries. Each log entry should describe your accomplishments for time blocks of approximately two hours.</t>
    </r>
  </si>
  <si>
    <t>G23</t>
  </si>
  <si>
    <t>Taylor Zhou</t>
  </si>
  <si>
    <t>Brainstorm and outlined "Testbench and Simulation" Section of Project Report</t>
  </si>
  <si>
    <t>Researched and decided to create an implementation of carry-skip adder, with 4-bit ripple adder blocks. Created the FullAdder and 4-Bit Adder components that will later be used to implement the carry-skip adder.</t>
  </si>
  <si>
    <t>Revised my 4 bit adder and FA implementations to output the propagation bits to be used in the carry skip adder. Attempted to figure out how to instatiate a 4-bit block every 4 n based on the n bit input</t>
  </si>
  <si>
    <t>Implemented most of the carry skip adder, including the full block implementation with skip and the partial block case for n &lt; 4 or not a power 2. Struggled with the partial block case, and may still be wrong as its not fully tested. Also need to adjust the variable names to match the project specifications and add the overflow detection.</t>
  </si>
  <si>
    <t>After research and looking at the instructions again, realized that the project is asking for toplogy/implementation pairs, so ripple/cyclone, ripple/arria, CSA/cyclone, CSA/arria</t>
  </si>
  <si>
    <t>Editing the baseline and fast ripple to become RippleCarry_Cyclone and RippleCarry_Arria. Added the overflow detection for both files. Changed the calculation from unsigned to signed in the RippleCarry_Arria. Adjusted the variables names to better fit with requirements. Added comments for all new implementations.</t>
  </si>
  <si>
    <t>Spent time trying to figure out if the RippleCarry_Cyclone was meant to have different impelmentation from RippleCarry_Arria, decided that we would keep our current implmentation and move on.</t>
  </si>
  <si>
    <t>Analysed the post fitting and pre fitting maps of the RippleCarry_Arria and the RippleCarry_Cyclone in an attempt to understand how the FPGA resources are utilized. Still unsure as to how the logic elements are used by the FPGA, as I would have expected</t>
  </si>
  <si>
    <t>Completed the estimations of the used LE's/ALM's for the Ripple carry toplogy, and recorded down the actual amount used, added a table to the report that includes this.</t>
  </si>
  <si>
    <t>Completed the estimations of the used LE's/ALM's for the Conditional sum topology, and recorded down the actual amount used, started research into how to calculate the cost.</t>
  </si>
  <si>
    <t>Researched the prices and number of LE's for both FPGA boards, calculated the various parameters, inputting them into excel to create a table. Transcribed this all onto the report.</t>
  </si>
  <si>
    <t>Wrote the final parts of the summary report</t>
  </si>
  <si>
    <t>Researched on Brent Kung Adders, decided that a recursive implementation would fit best, begin creating the recursive component that is to be instatiated BrentKungGenerator</t>
  </si>
  <si>
    <t>Completed the recursive component of the BKA which calculates the generate and propagate signals for every digit recursively, need to still do the actual calcuation of the sums and carry using the signals in the main entity</t>
  </si>
  <si>
    <t>Finished designing the BKA_Cyclone, viewed the RTL netlist viewer to confirm recursive structure, began the design of the timing testbench</t>
  </si>
  <si>
    <t>Finished part of the testbench, spent some time trying to get the vho files</t>
  </si>
  <si>
    <t>Setup the basic structure of the testbench and one of the config files, discovered some issues in implementation of BKA from running the functional testbench</t>
  </si>
  <si>
    <t>Fixed the BKA implementation by adding Cin handling to the tree generation, considering changing my implementation to optimize for Cyclone 4 and Arria 2 and getting rid of components</t>
  </si>
  <si>
    <t>Temporarily paused the idea of changing implementation, focusing on getting the timing testbench working, functional testbench is working now</t>
  </si>
  <si>
    <t>Tentative completion of timing testbench, and scripts, fixed run issue in the FS 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</si>
</sst>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0000"/>
  </numFmts>
  <fonts count="15" x14ac:knownFonts="1">
    <font>
      <sz val="11"/>
      <color theme="1"/>
      <name val="Calibri"/>
      <family val="2"/>
      <scheme val="minor"/>
    </font>
    <font>
      <sz val="12"/>
      <color theme="1"/>
      <name val="Calibri"/>
      <family val="2"/>
      <scheme val="minor"/>
    </font>
    <font>
      <sz val="11"/>
      <color theme="1"/>
      <name val="Stencil"/>
      <family val="5"/>
    </font>
    <font>
      <sz val="11"/>
      <color theme="1"/>
      <name val="Times New Roman"/>
      <family val="1"/>
    </font>
    <font>
      <sz val="14"/>
      <color theme="1"/>
      <name val="Calibri"/>
      <family val="2"/>
      <scheme val="minor"/>
    </font>
    <font>
      <sz val="26"/>
      <color theme="1"/>
      <name val="Calibri"/>
      <family val="2"/>
      <scheme val="minor"/>
    </font>
    <font>
      <sz val="36"/>
      <color rgb="FFFF0000"/>
      <name val="Calibri"/>
      <family val="2"/>
      <scheme val="minor"/>
    </font>
    <font>
      <sz val="12"/>
      <color theme="1"/>
      <name val="Calibri"/>
      <family val="2"/>
      <scheme val="minor"/>
    </font>
    <font>
      <b/>
      <sz val="20"/>
      <color rgb="FFC00000"/>
      <name val="Calibri"/>
      <family val="2"/>
      <scheme val="minor"/>
    </font>
    <font>
      <b/>
      <sz val="16"/>
      <color rgb="FFC00000"/>
      <name val="Calibri"/>
      <family val="2"/>
      <scheme val="minor"/>
    </font>
    <font>
      <sz val="16"/>
      <color theme="1"/>
      <name val="Calibri"/>
      <family val="2"/>
      <scheme val="minor"/>
    </font>
    <font>
      <b/>
      <u/>
      <sz val="16"/>
      <color theme="1"/>
      <name val="Calibri"/>
      <family val="2"/>
      <scheme val="minor"/>
    </font>
    <font>
      <b/>
      <sz val="14"/>
      <color theme="1"/>
      <name val="Calibri"/>
      <family val="2"/>
      <scheme val="minor"/>
    </font>
    <font>
      <b/>
      <sz val="11"/>
      <color theme="1"/>
      <name val="Calibri"/>
      <family val="2"/>
      <scheme val="minor"/>
    </font>
    <font>
      <b/>
      <sz val="36"/>
      <color rgb="FF7030A0"/>
      <name val="Times New Roman"/>
      <family val="1"/>
    </font>
  </fonts>
  <fills count="6">
    <fill>
      <patternFill patternType="none"/>
    </fill>
    <fill>
      <patternFill patternType="gray125"/>
    </fill>
    <fill>
      <patternFill patternType="solid">
        <fgColor theme="9" tint="0.59999389629810485"/>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7" tint="0.39997558519241921"/>
        <bgColor indexed="64"/>
      </patternFill>
    </fill>
  </fills>
  <borders count="2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right/>
      <top/>
      <bottom style="medium">
        <color indexed="64"/>
      </bottom>
      <diagonal/>
    </border>
  </borders>
  <cellStyleXfs count="1">
    <xf numFmtId="0" fontId="0" fillId="0" borderId="0"/>
  </cellStyleXfs>
  <cellXfs count="59">
    <xf numFmtId="0" fontId="0" fillId="0" borderId="0" xfId="0"/>
    <xf numFmtId="0" fontId="2" fillId="0" borderId="0" xfId="0" applyFont="1" applyAlignment="1">
      <alignment horizontal="center" vertical="center"/>
    </xf>
    <xf numFmtId="164" fontId="0" fillId="0" borderId="0" xfId="0" applyNumberFormat="1"/>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164" fontId="2" fillId="3" borderId="2" xfId="0" applyNumberFormat="1" applyFont="1" applyFill="1" applyBorder="1" applyAlignment="1">
      <alignment horizontal="center" vertical="center"/>
    </xf>
    <xf numFmtId="0" fontId="2" fillId="3" borderId="3" xfId="0" applyFont="1" applyFill="1" applyBorder="1" applyAlignment="1">
      <alignment horizontal="center" vertical="center"/>
    </xf>
    <xf numFmtId="18" fontId="0" fillId="0" borderId="0" xfId="0" applyNumberFormat="1"/>
    <xf numFmtId="18" fontId="2" fillId="3" borderId="2" xfId="0" applyNumberFormat="1" applyFont="1" applyFill="1" applyBorder="1" applyAlignment="1">
      <alignment horizontal="center" vertical="center"/>
    </xf>
    <xf numFmtId="2" fontId="4" fillId="0" borderId="0" xfId="0" applyNumberFormat="1" applyFont="1" applyAlignment="1">
      <alignment vertical="center"/>
    </xf>
    <xf numFmtId="18" fontId="2" fillId="3" borderId="4" xfId="0" applyNumberFormat="1" applyFont="1" applyFill="1" applyBorder="1" applyAlignment="1">
      <alignment horizontal="center" vertical="center"/>
    </xf>
    <xf numFmtId="2" fontId="4" fillId="0" borderId="6" xfId="0" applyNumberFormat="1" applyFont="1" applyBorder="1" applyAlignment="1" applyProtection="1">
      <alignment vertical="center"/>
      <protection hidden="1"/>
    </xf>
    <xf numFmtId="165" fontId="4" fillId="4" borderId="7" xfId="0" applyNumberFormat="1" applyFont="1" applyFill="1" applyBorder="1" applyAlignment="1" applyProtection="1">
      <alignment horizontal="center" vertical="center"/>
      <protection locked="0"/>
    </xf>
    <xf numFmtId="165" fontId="4" fillId="4" borderId="11" xfId="0" applyNumberFormat="1" applyFont="1" applyFill="1" applyBorder="1" applyAlignment="1" applyProtection="1">
      <alignment horizontal="center" vertical="center"/>
      <protection locked="0"/>
    </xf>
    <xf numFmtId="165" fontId="4" fillId="4" borderId="14" xfId="0" applyNumberFormat="1" applyFont="1" applyFill="1" applyBorder="1" applyAlignment="1" applyProtection="1">
      <alignment horizontal="center" vertical="center"/>
      <protection locked="0"/>
    </xf>
    <xf numFmtId="0" fontId="0" fillId="4" borderId="7" xfId="0" applyFill="1" applyBorder="1" applyAlignment="1" applyProtection="1">
      <alignment horizontal="left" vertical="center"/>
      <protection locked="0"/>
    </xf>
    <xf numFmtId="0" fontId="0" fillId="4" borderId="11" xfId="0" applyFill="1" applyBorder="1" applyAlignment="1" applyProtection="1">
      <alignment horizontal="left" vertical="center"/>
      <protection locked="0"/>
    </xf>
    <xf numFmtId="0" fontId="0" fillId="4" borderId="14" xfId="0" applyFill="1" applyBorder="1" applyAlignment="1" applyProtection="1">
      <alignment horizontal="left" vertical="center"/>
      <protection locked="0"/>
    </xf>
    <xf numFmtId="164" fontId="0" fillId="4" borderId="7" xfId="0" applyNumberFormat="1" applyFill="1" applyBorder="1" applyAlignment="1" applyProtection="1">
      <alignment vertical="center"/>
      <protection locked="0"/>
    </xf>
    <xf numFmtId="18" fontId="0" fillId="4" borderId="8" xfId="0" applyNumberFormat="1" applyFill="1" applyBorder="1" applyAlignment="1" applyProtection="1">
      <alignment vertical="center"/>
      <protection locked="0"/>
    </xf>
    <xf numFmtId="18" fontId="0" fillId="4" borderId="9" xfId="0" applyNumberFormat="1" applyFill="1" applyBorder="1" applyAlignment="1" applyProtection="1">
      <alignment vertical="center"/>
      <protection locked="0"/>
    </xf>
    <xf numFmtId="164" fontId="0" fillId="4" borderId="11" xfId="0" applyNumberFormat="1" applyFill="1" applyBorder="1" applyAlignment="1" applyProtection="1">
      <alignment vertical="center"/>
      <protection locked="0"/>
    </xf>
    <xf numFmtId="18" fontId="0" fillId="4" borderId="12" xfId="0" applyNumberFormat="1" applyFill="1" applyBorder="1" applyAlignment="1" applyProtection="1">
      <alignment vertical="center"/>
      <protection locked="0"/>
    </xf>
    <xf numFmtId="164" fontId="0" fillId="4" borderId="14" xfId="0" applyNumberFormat="1" applyFill="1" applyBorder="1" applyAlignment="1" applyProtection="1">
      <alignment vertical="center"/>
      <protection locked="0"/>
    </xf>
    <xf numFmtId="18" fontId="0" fillId="4" borderId="5" xfId="0" applyNumberFormat="1" applyFill="1" applyBorder="1" applyAlignment="1" applyProtection="1">
      <alignment vertical="center"/>
      <protection locked="0"/>
    </xf>
    <xf numFmtId="18" fontId="0" fillId="4" borderId="15" xfId="0" applyNumberFormat="1" applyFill="1" applyBorder="1" applyAlignment="1" applyProtection="1">
      <alignment vertical="center"/>
      <protection locked="0"/>
    </xf>
    <xf numFmtId="2" fontId="4" fillId="0" borderId="10" xfId="0" applyNumberFormat="1" applyFont="1" applyBorder="1" applyProtection="1">
      <protection hidden="1"/>
    </xf>
    <xf numFmtId="2" fontId="4" fillId="0" borderId="13" xfId="0" applyNumberFormat="1" applyFont="1" applyBorder="1" applyProtection="1">
      <protection hidden="1"/>
    </xf>
    <xf numFmtId="2" fontId="4" fillId="5" borderId="0" xfId="0" applyNumberFormat="1" applyFont="1" applyFill="1" applyProtection="1">
      <protection hidden="1"/>
    </xf>
    <xf numFmtId="2" fontId="4" fillId="0" borderId="0" xfId="0" applyNumberFormat="1" applyFont="1" applyProtection="1">
      <protection hidden="1"/>
    </xf>
    <xf numFmtId="0" fontId="0" fillId="0" borderId="6" xfId="0" applyBorder="1"/>
    <xf numFmtId="0" fontId="0" fillId="0" borderId="10" xfId="0" applyBorder="1"/>
    <xf numFmtId="0" fontId="0" fillId="0" borderId="13" xfId="0" applyBorder="1"/>
    <xf numFmtId="2" fontId="4" fillId="0" borderId="6" xfId="0" applyNumberFormat="1" applyFont="1" applyBorder="1" applyAlignment="1">
      <alignment vertical="center"/>
    </xf>
    <xf numFmtId="2" fontId="4" fillId="0" borderId="10" xfId="0" applyNumberFormat="1" applyFont="1" applyBorder="1"/>
    <xf numFmtId="2" fontId="4" fillId="0" borderId="13" xfId="0" applyNumberFormat="1" applyFont="1" applyBorder="1"/>
    <xf numFmtId="0" fontId="12" fillId="2" borderId="0" xfId="0" applyFont="1" applyFill="1" applyAlignment="1">
      <alignment horizontal="left" vertical="center"/>
    </xf>
    <xf numFmtId="0" fontId="13" fillId="2" borderId="20" xfId="0" applyFont="1" applyFill="1" applyBorder="1" applyAlignment="1">
      <alignment horizontal="left" vertical="center" wrapText="1"/>
    </xf>
    <xf numFmtId="19" fontId="0" fillId="4" borderId="8" xfId="0" applyNumberFormat="1" applyFill="1" applyBorder="1" applyAlignment="1" applyProtection="1">
      <alignment vertical="center"/>
      <protection locked="0"/>
    </xf>
    <xf numFmtId="0" fontId="10"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9" fontId="8" fillId="4" borderId="16" xfId="0" applyNumberFormat="1" applyFont="1" applyFill="1" applyBorder="1" applyAlignment="1" applyProtection="1">
      <alignment horizontal="center" vertical="center"/>
      <protection locked="0"/>
    </xf>
    <xf numFmtId="0" fontId="8" fillId="4" borderId="10" xfId="0" applyFont="1" applyFill="1" applyBorder="1" applyAlignment="1" applyProtection="1">
      <alignment horizontal="center" vertical="center"/>
      <protection locked="0"/>
    </xf>
    <xf numFmtId="0" fontId="8" fillId="4" borderId="17" xfId="0" applyFont="1" applyFill="1" applyBorder="1" applyAlignment="1" applyProtection="1">
      <alignment horizontal="center" vertical="center"/>
      <protection locked="0"/>
    </xf>
    <xf numFmtId="18" fontId="5" fillId="5" borderId="21" xfId="0" applyNumberFormat="1" applyFont="1" applyFill="1" applyBorder="1" applyAlignment="1">
      <alignment horizontal="center" vertical="center"/>
    </xf>
    <xf numFmtId="18" fontId="5" fillId="5" borderId="4" xfId="0" applyNumberFormat="1" applyFont="1" applyFill="1" applyBorder="1" applyAlignment="1">
      <alignment horizontal="center" vertical="center"/>
    </xf>
    <xf numFmtId="18" fontId="5" fillId="5" borderId="22" xfId="0" applyNumberFormat="1" applyFont="1" applyFill="1" applyBorder="1" applyAlignment="1">
      <alignment horizontal="center" vertical="center"/>
    </xf>
    <xf numFmtId="18" fontId="5" fillId="5" borderId="0" xfId="0" applyNumberFormat="1" applyFont="1" applyFill="1" applyAlignment="1">
      <alignment horizontal="center" vertical="center"/>
    </xf>
    <xf numFmtId="18" fontId="5" fillId="5" borderId="23" xfId="0" applyNumberFormat="1" applyFont="1" applyFill="1" applyBorder="1" applyAlignment="1">
      <alignment horizontal="center" vertical="center"/>
    </xf>
    <xf numFmtId="18" fontId="5" fillId="5" borderId="24" xfId="0" applyNumberFormat="1" applyFont="1" applyFill="1" applyBorder="1" applyAlignment="1">
      <alignment horizontal="center" vertical="center"/>
    </xf>
    <xf numFmtId="0" fontId="1" fillId="4" borderId="18" xfId="0" applyFont="1" applyFill="1" applyBorder="1" applyAlignment="1" applyProtection="1">
      <alignment horizontal="center" vertical="center"/>
      <protection locked="0"/>
    </xf>
    <xf numFmtId="0" fontId="7" fillId="4" borderId="6" xfId="0" applyFont="1" applyFill="1" applyBorder="1" applyAlignment="1" applyProtection="1">
      <alignment horizontal="center" vertical="center"/>
      <protection locked="0"/>
    </xf>
    <xf numFmtId="0" fontId="7" fillId="4" borderId="19" xfId="0" applyFont="1" applyFill="1" applyBorder="1" applyAlignment="1" applyProtection="1">
      <alignment horizontal="center" vertical="center"/>
      <protection locked="0"/>
    </xf>
    <xf numFmtId="0" fontId="4" fillId="4" borderId="16" xfId="0" applyFont="1" applyFill="1" applyBorder="1" applyAlignment="1" applyProtection="1">
      <alignment horizontal="center" vertical="center"/>
      <protection locked="0"/>
    </xf>
    <xf numFmtId="0" fontId="4" fillId="4" borderId="10" xfId="0" applyFont="1" applyFill="1" applyBorder="1" applyAlignment="1" applyProtection="1">
      <alignment horizontal="center" vertical="center"/>
      <protection locked="0"/>
    </xf>
    <xf numFmtId="0" fontId="4" fillId="4" borderId="17" xfId="0" applyFont="1" applyFill="1" applyBorder="1" applyAlignment="1" applyProtection="1">
      <alignment horizontal="center" vertical="center"/>
      <protection locked="0"/>
    </xf>
    <xf numFmtId="0" fontId="8" fillId="4" borderId="16" xfId="0" applyFont="1" applyFill="1" applyBorder="1" applyAlignment="1" applyProtection="1">
      <alignment horizontal="center" vertical="center"/>
      <protection locked="0"/>
    </xf>
    <xf numFmtId="0" fontId="7" fillId="4" borderId="18" xfId="0" applyFont="1" applyFill="1" applyBorder="1" applyAlignment="1" applyProtection="1">
      <alignment horizontal="center" vertical="center"/>
      <protection locked="0"/>
    </xf>
  </cellXfs>
  <cellStyles count="1">
    <cellStyle name="Normal" xfId="0" builtinId="0"/>
  </cellStyles>
  <dxfs count="6">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E6E40-83BD-4CBB-97D3-102021CD8368}">
  <dimension ref="A1:I783"/>
  <sheetViews>
    <sheetView zoomScale="85" zoomScaleNormal="85" workbookViewId="0">
      <selection activeCell="D12" sqref="D12"/>
    </sheetView>
  </sheetViews>
  <sheetFormatPr defaultColWidth="8.81640625"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453125" customWidth="1"/>
    <col min="8" max="8" width="15.6328125" customWidth="1"/>
    <col min="9" max="9" width="26" customWidth="1"/>
    <col min="10" max="33" width="15.6328125" customWidth="1"/>
  </cols>
  <sheetData>
    <row r="1" spans="1:9" ht="94.25" customHeight="1" thickBot="1" x14ac:dyDescent="0.4">
      <c r="A1" s="39" t="s">
        <v>19</v>
      </c>
      <c r="B1" s="40"/>
      <c r="C1" s="40"/>
      <c r="D1" s="40"/>
      <c r="E1" s="40"/>
      <c r="F1" s="40"/>
      <c r="G1" s="40"/>
      <c r="H1" s="41"/>
    </row>
    <row r="2" spans="1:9" ht="25" customHeight="1" x14ac:dyDescent="0.35">
      <c r="A2" s="36" t="s">
        <v>6</v>
      </c>
      <c r="B2" s="51" t="s">
        <v>21</v>
      </c>
      <c r="C2" s="52"/>
      <c r="D2" s="53"/>
      <c r="E2" s="45" t="s">
        <v>13</v>
      </c>
      <c r="F2" s="46"/>
      <c r="G2" s="46"/>
    </row>
    <row r="3" spans="1:9" ht="25" customHeight="1" x14ac:dyDescent="0.35">
      <c r="A3" s="36" t="s">
        <v>5</v>
      </c>
      <c r="B3" s="54">
        <v>301599263</v>
      </c>
      <c r="C3" s="55"/>
      <c r="D3" s="56"/>
      <c r="E3" s="47"/>
      <c r="F3" s="48"/>
      <c r="G3" s="48"/>
    </row>
    <row r="4" spans="1:9" ht="25" customHeight="1" thickBot="1" x14ac:dyDescent="0.4">
      <c r="A4" s="36" t="s">
        <v>4</v>
      </c>
      <c r="B4" s="57" t="s">
        <v>20</v>
      </c>
      <c r="C4" s="43"/>
      <c r="D4" s="44"/>
      <c r="E4" s="47"/>
      <c r="F4" s="48"/>
      <c r="G4" s="48"/>
    </row>
    <row r="5" spans="1:9" ht="59.5" customHeight="1" thickBot="1" x14ac:dyDescent="0.4">
      <c r="A5" s="37" t="s">
        <v>11</v>
      </c>
      <c r="B5" s="42">
        <v>0.2</v>
      </c>
      <c r="C5" s="43"/>
      <c r="D5" s="44"/>
      <c r="E5" s="49"/>
      <c r="F5" s="50"/>
      <c r="G5" s="50"/>
    </row>
    <row r="6" spans="1:9" s="1" customFormat="1" ht="25" customHeight="1" thickBot="1" x14ac:dyDescent="0.4">
      <c r="A6" s="3" t="s">
        <v>7</v>
      </c>
      <c r="B6" s="4" t="s">
        <v>0</v>
      </c>
      <c r="C6" s="5" t="s">
        <v>1</v>
      </c>
      <c r="D6" s="10" t="s">
        <v>2</v>
      </c>
      <c r="E6" s="8" t="s">
        <v>3</v>
      </c>
      <c r="F6" s="4" t="s">
        <v>7</v>
      </c>
      <c r="G6" s="6" t="s">
        <v>10</v>
      </c>
      <c r="H6" s="4" t="s">
        <v>8</v>
      </c>
    </row>
    <row r="7" spans="1:9" ht="25" customHeight="1" x14ac:dyDescent="0.35">
      <c r="A7" s="30"/>
      <c r="B7" s="12">
        <v>9263</v>
      </c>
      <c r="C7" s="18">
        <v>45935</v>
      </c>
      <c r="D7" s="19">
        <v>0.77083333333333337</v>
      </c>
      <c r="E7" s="20">
        <v>0.8125</v>
      </c>
      <c r="F7" s="33"/>
      <c r="G7" s="15" t="s">
        <v>22</v>
      </c>
      <c r="H7" s="11">
        <f t="shared" ref="H7" si="0">(E7-D7)*24</f>
        <v>0.99999999999999911</v>
      </c>
      <c r="I7" s="9"/>
    </row>
    <row r="8" spans="1:9" ht="25" customHeight="1" x14ac:dyDescent="0.45">
      <c r="A8" s="31"/>
      <c r="B8" s="13"/>
      <c r="C8" s="21"/>
      <c r="D8" s="19"/>
      <c r="E8" s="22"/>
      <c r="F8" s="34"/>
      <c r="G8" s="16"/>
      <c r="H8" s="26">
        <f>(E8-D8)*24</f>
        <v>0</v>
      </c>
    </row>
    <row r="9" spans="1:9" ht="25" customHeight="1" x14ac:dyDescent="0.45">
      <c r="A9" s="31"/>
      <c r="B9" s="13"/>
      <c r="C9" s="21"/>
      <c r="D9" s="19"/>
      <c r="E9" s="22"/>
      <c r="F9" s="34"/>
      <c r="G9" s="16"/>
      <c r="H9" s="26">
        <f t="shared" ref="H9:H72" si="1">(E9-D9)*24</f>
        <v>0</v>
      </c>
    </row>
    <row r="10" spans="1:9" ht="25" customHeight="1" x14ac:dyDescent="0.45">
      <c r="A10" s="31"/>
      <c r="B10" s="13"/>
      <c r="C10" s="21"/>
      <c r="D10" s="19"/>
      <c r="E10" s="22"/>
      <c r="F10" s="34"/>
      <c r="G10" s="16"/>
      <c r="H10" s="26">
        <f t="shared" si="1"/>
        <v>0</v>
      </c>
    </row>
    <row r="11" spans="1:9" ht="25" customHeight="1" x14ac:dyDescent="0.45">
      <c r="A11" s="31"/>
      <c r="B11" s="13"/>
      <c r="C11" s="21"/>
      <c r="D11" s="19"/>
      <c r="E11" s="22"/>
      <c r="F11" s="34"/>
      <c r="G11" s="16"/>
      <c r="H11" s="26">
        <f t="shared" si="1"/>
        <v>0</v>
      </c>
    </row>
    <row r="12" spans="1:9" ht="25" customHeight="1" x14ac:dyDescent="0.45">
      <c r="A12" s="31"/>
      <c r="B12" s="13"/>
      <c r="C12" s="21"/>
      <c r="D12" s="19"/>
      <c r="E12" s="22"/>
      <c r="F12" s="34"/>
      <c r="G12" s="16"/>
      <c r="H12" s="26">
        <f t="shared" si="1"/>
        <v>0</v>
      </c>
    </row>
    <row r="13" spans="1:9" ht="25" customHeight="1" x14ac:dyDescent="0.45">
      <c r="A13" s="31"/>
      <c r="B13" s="13"/>
      <c r="C13" s="21"/>
      <c r="D13" s="19"/>
      <c r="E13" s="22"/>
      <c r="F13" s="34"/>
      <c r="G13" s="16"/>
      <c r="H13" s="26">
        <f t="shared" si="1"/>
        <v>0</v>
      </c>
    </row>
    <row r="14" spans="1:9" ht="25" customHeight="1" x14ac:dyDescent="0.45">
      <c r="A14" s="31"/>
      <c r="B14" s="13"/>
      <c r="C14" s="21"/>
      <c r="D14" s="19"/>
      <c r="E14" s="22"/>
      <c r="F14" s="34"/>
      <c r="G14" s="16"/>
      <c r="H14" s="26">
        <f t="shared" si="1"/>
        <v>0</v>
      </c>
    </row>
    <row r="15" spans="1:9" ht="25" customHeight="1" x14ac:dyDescent="0.45">
      <c r="A15" s="31"/>
      <c r="B15" s="13"/>
      <c r="C15" s="21"/>
      <c r="D15" s="19"/>
      <c r="E15" s="22"/>
      <c r="F15" s="34"/>
      <c r="G15" s="16"/>
      <c r="H15" s="26">
        <f t="shared" si="1"/>
        <v>0</v>
      </c>
    </row>
    <row r="16" spans="1:9" ht="25" customHeight="1" x14ac:dyDescent="0.45">
      <c r="A16" s="31"/>
      <c r="B16" s="13"/>
      <c r="C16" s="21"/>
      <c r="D16" s="19"/>
      <c r="E16" s="22"/>
      <c r="F16" s="34"/>
      <c r="G16" s="16"/>
      <c r="H16" s="26">
        <f t="shared" si="1"/>
        <v>0</v>
      </c>
    </row>
    <row r="17" spans="1:8" ht="25" customHeight="1" x14ac:dyDescent="0.45">
      <c r="A17" s="31"/>
      <c r="B17" s="13"/>
      <c r="C17" s="21"/>
      <c r="D17" s="19"/>
      <c r="E17" s="22"/>
      <c r="F17" s="34"/>
      <c r="G17" s="16"/>
      <c r="H17" s="26">
        <f t="shared" si="1"/>
        <v>0</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0.99999999999999911</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sNU3PU1sZu/XHq3y7daVxIp92iIMOUtXXVzLXIeK25US15H4gHDflCeEtaLvhtcn5lLNCpT+VIs3Qmrn6AHrxg==" saltValue="IEOaYygWcBfcrG8obapXYQ==" spinCount="100000" sheet="1" selectLockedCells="1"/>
  <mergeCells count="6">
    <mergeCell ref="A1:H1"/>
    <mergeCell ref="B5:D5"/>
    <mergeCell ref="E2:G5"/>
    <mergeCell ref="B2:D2"/>
    <mergeCell ref="B3:D3"/>
    <mergeCell ref="B4:D4"/>
  </mergeCells>
  <conditionalFormatting sqref="H7:H79">
    <cfRule type="cellIs" dxfId="5" priority="1" operator="lessThan">
      <formula>0</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A799F-2A25-43A6-9F67-3B557D40BF29}">
  <dimension ref="A1:I783"/>
  <sheetViews>
    <sheetView zoomScale="85" zoomScaleNormal="85" workbookViewId="0">
      <selection activeCell="D9" sqref="D9"/>
    </sheetView>
  </sheetViews>
  <sheetFormatPr defaultColWidth="8.81640625"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453125" customWidth="1"/>
    <col min="8" max="8" width="15.6328125" customWidth="1"/>
    <col min="9" max="9" width="26" customWidth="1"/>
    <col min="10" max="33" width="15.6328125" customWidth="1"/>
  </cols>
  <sheetData>
    <row r="1" spans="1:9" ht="94.25" customHeight="1" thickBot="1" x14ac:dyDescent="0.4">
      <c r="A1" s="39" t="s">
        <v>19</v>
      </c>
      <c r="B1" s="40"/>
      <c r="C1" s="40"/>
      <c r="D1" s="40"/>
      <c r="E1" s="40"/>
      <c r="F1" s="40"/>
      <c r="G1" s="40"/>
      <c r="H1" s="41"/>
    </row>
    <row r="2" spans="1:9" ht="25" customHeight="1" x14ac:dyDescent="0.35">
      <c r="A2" s="36" t="s">
        <v>6</v>
      </c>
      <c r="B2" s="51" t="s">
        <v>21</v>
      </c>
      <c r="C2" s="52"/>
      <c r="D2" s="53"/>
      <c r="E2" s="45" t="s">
        <v>14</v>
      </c>
      <c r="F2" s="46"/>
      <c r="G2" s="46"/>
    </row>
    <row r="3" spans="1:9" ht="25" customHeight="1" x14ac:dyDescent="0.35">
      <c r="A3" s="36" t="s">
        <v>5</v>
      </c>
      <c r="B3" s="54">
        <v>301599263</v>
      </c>
      <c r="C3" s="55"/>
      <c r="D3" s="56"/>
      <c r="E3" s="47"/>
      <c r="F3" s="48"/>
      <c r="G3" s="48"/>
    </row>
    <row r="4" spans="1:9" ht="25" customHeight="1" thickBot="1" x14ac:dyDescent="0.4">
      <c r="A4" s="36" t="s">
        <v>4</v>
      </c>
      <c r="B4" s="57" t="s">
        <v>20</v>
      </c>
      <c r="C4" s="43"/>
      <c r="D4" s="44"/>
      <c r="E4" s="47"/>
      <c r="F4" s="48"/>
      <c r="G4" s="48"/>
    </row>
    <row r="5" spans="1:9" ht="59.5" customHeight="1" thickBot="1" x14ac:dyDescent="0.4">
      <c r="A5" s="37" t="s">
        <v>11</v>
      </c>
      <c r="B5" s="42">
        <v>0.3</v>
      </c>
      <c r="C5" s="43"/>
      <c r="D5" s="44"/>
      <c r="E5" s="49"/>
      <c r="F5" s="50"/>
      <c r="G5" s="50"/>
    </row>
    <row r="6" spans="1:9" s="1" customFormat="1" ht="25" customHeight="1" thickBot="1" x14ac:dyDescent="0.4">
      <c r="A6" s="3" t="s">
        <v>7</v>
      </c>
      <c r="B6" s="4" t="s">
        <v>0</v>
      </c>
      <c r="C6" s="5" t="s">
        <v>1</v>
      </c>
      <c r="D6" s="10" t="s">
        <v>2</v>
      </c>
      <c r="E6" s="8" t="s">
        <v>3</v>
      </c>
      <c r="F6" s="4" t="s">
        <v>7</v>
      </c>
      <c r="G6" s="6" t="s">
        <v>10</v>
      </c>
      <c r="H6" s="4" t="s">
        <v>8</v>
      </c>
    </row>
    <row r="7" spans="1:9" ht="25" customHeight="1" x14ac:dyDescent="0.35">
      <c r="A7" s="30"/>
      <c r="B7" s="12">
        <v>9263</v>
      </c>
      <c r="C7" s="18">
        <v>45939</v>
      </c>
      <c r="D7" s="38">
        <v>0.71875</v>
      </c>
      <c r="E7" s="20">
        <v>0.75694444444444442</v>
      </c>
      <c r="F7" s="33"/>
      <c r="G7" s="15" t="s">
        <v>23</v>
      </c>
      <c r="H7" s="11">
        <f t="shared" ref="H7" si="0">(E7-D7)*24</f>
        <v>0.91666666666666607</v>
      </c>
      <c r="I7" s="9"/>
    </row>
    <row r="8" spans="1:9" ht="25" customHeight="1" x14ac:dyDescent="0.45">
      <c r="A8" s="31"/>
      <c r="B8" s="13">
        <v>9263</v>
      </c>
      <c r="C8" s="21">
        <v>45939</v>
      </c>
      <c r="D8" s="19">
        <v>0.75694444444444442</v>
      </c>
      <c r="E8" s="22">
        <v>0.77777777777777779</v>
      </c>
      <c r="F8" s="34"/>
      <c r="G8" s="16" t="s">
        <v>24</v>
      </c>
      <c r="H8" s="26">
        <f>(E8-D8)*24</f>
        <v>0.50000000000000089</v>
      </c>
    </row>
    <row r="9" spans="1:9" ht="25" customHeight="1" x14ac:dyDescent="0.45">
      <c r="A9" s="31"/>
      <c r="B9" s="13">
        <v>9263</v>
      </c>
      <c r="C9" s="21">
        <v>45942</v>
      </c>
      <c r="D9" s="19">
        <v>1.6666666666666666E-2</v>
      </c>
      <c r="E9" s="22">
        <v>9.7222222222222224E-2</v>
      </c>
      <c r="F9" s="34"/>
      <c r="G9" s="16" t="s">
        <v>25</v>
      </c>
      <c r="H9" s="26">
        <f t="shared" ref="H9:H72" si="1">(E9-D9)*24</f>
        <v>1.9333333333333336</v>
      </c>
    </row>
    <row r="10" spans="1:9" ht="25" customHeight="1" x14ac:dyDescent="0.45">
      <c r="A10" s="31"/>
      <c r="B10" s="13">
        <v>9263</v>
      </c>
      <c r="C10" s="21">
        <v>45942</v>
      </c>
      <c r="D10" s="19">
        <v>0.32291666666666669</v>
      </c>
      <c r="E10" s="22">
        <v>0.40277777777777779</v>
      </c>
      <c r="F10" s="34"/>
      <c r="G10" s="16" t="s">
        <v>26</v>
      </c>
      <c r="H10" s="26">
        <f t="shared" si="1"/>
        <v>1.9166666666666665</v>
      </c>
    </row>
    <row r="11" spans="1:9" ht="25" customHeight="1" x14ac:dyDescent="0.45">
      <c r="A11" s="31"/>
      <c r="B11" s="13">
        <v>9263</v>
      </c>
      <c r="C11" s="21">
        <v>45942</v>
      </c>
      <c r="D11" s="19">
        <v>0.40625</v>
      </c>
      <c r="E11" s="22">
        <v>0.47430555555555554</v>
      </c>
      <c r="F11" s="34"/>
      <c r="G11" s="16" t="s">
        <v>27</v>
      </c>
      <c r="H11" s="26">
        <f t="shared" si="1"/>
        <v>1.6333333333333329</v>
      </c>
    </row>
    <row r="12" spans="1:9" ht="25" customHeight="1" x14ac:dyDescent="0.45">
      <c r="A12" s="31"/>
      <c r="B12" s="13">
        <v>9263</v>
      </c>
      <c r="C12" s="21">
        <v>45942</v>
      </c>
      <c r="D12" s="19">
        <v>0.52083333333333337</v>
      </c>
      <c r="E12" s="22">
        <v>0.5625</v>
      </c>
      <c r="F12" s="34"/>
      <c r="G12" s="16" t="s">
        <v>28</v>
      </c>
      <c r="H12" s="26">
        <f t="shared" si="1"/>
        <v>0.99999999999999911</v>
      </c>
    </row>
    <row r="13" spans="1:9" ht="25" customHeight="1" x14ac:dyDescent="0.45">
      <c r="A13" s="31"/>
      <c r="B13" s="13">
        <v>9263</v>
      </c>
      <c r="C13" s="21">
        <v>45942</v>
      </c>
      <c r="D13" s="19">
        <v>0.625</v>
      </c>
      <c r="E13" s="22">
        <v>0.6875</v>
      </c>
      <c r="F13" s="34"/>
      <c r="G13" s="16" t="s">
        <v>29</v>
      </c>
      <c r="H13" s="26">
        <f t="shared" si="1"/>
        <v>1.5</v>
      </c>
    </row>
    <row r="14" spans="1:9" ht="25" customHeight="1" x14ac:dyDescent="0.45">
      <c r="A14" s="31"/>
      <c r="B14" s="13">
        <v>9263</v>
      </c>
      <c r="C14" s="21">
        <v>45942</v>
      </c>
      <c r="D14" s="19">
        <v>0.6875</v>
      </c>
      <c r="E14" s="22">
        <v>0.75347222222222221</v>
      </c>
      <c r="F14" s="34"/>
      <c r="G14" s="16" t="s">
        <v>30</v>
      </c>
      <c r="H14" s="26">
        <f t="shared" si="1"/>
        <v>1.583333333333333</v>
      </c>
    </row>
    <row r="15" spans="1:9" ht="25" customHeight="1" x14ac:dyDescent="0.45">
      <c r="A15" s="31"/>
      <c r="B15" s="13">
        <v>9263</v>
      </c>
      <c r="C15" s="21">
        <v>45942</v>
      </c>
      <c r="D15" s="19">
        <v>0.77083333333333337</v>
      </c>
      <c r="E15" s="22">
        <v>0.81944444444444442</v>
      </c>
      <c r="F15" s="34"/>
      <c r="G15" s="16" t="s">
        <v>31</v>
      </c>
      <c r="H15" s="26">
        <f t="shared" si="1"/>
        <v>1.1666666666666652</v>
      </c>
    </row>
    <row r="16" spans="1:9" ht="25" customHeight="1" x14ac:dyDescent="0.45">
      <c r="A16" s="31"/>
      <c r="B16" s="13">
        <v>9263</v>
      </c>
      <c r="C16" s="21">
        <v>45942</v>
      </c>
      <c r="D16" s="19">
        <v>0.81944444444444442</v>
      </c>
      <c r="E16" s="22">
        <v>0.86527777777777781</v>
      </c>
      <c r="F16" s="34"/>
      <c r="G16" s="16" t="s">
        <v>32</v>
      </c>
      <c r="H16" s="26">
        <f t="shared" si="1"/>
        <v>1.1000000000000014</v>
      </c>
    </row>
    <row r="17" spans="1:8" ht="25" customHeight="1" x14ac:dyDescent="0.45">
      <c r="A17" s="31"/>
      <c r="B17" s="13">
        <v>9263</v>
      </c>
      <c r="C17" s="21">
        <v>45942</v>
      </c>
      <c r="D17" s="19">
        <v>0.91666666666666663</v>
      </c>
      <c r="E17" s="22">
        <v>0.98958333333333337</v>
      </c>
      <c r="F17" s="34"/>
      <c r="G17" s="16" t="s">
        <v>33</v>
      </c>
      <c r="H17" s="26">
        <f t="shared" si="1"/>
        <v>1.7500000000000018</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14.999999999999998</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dcXtR48WjTYpG3sepj09aT2hu2Urn2XT63cVCbH0dtmdijrN88SUEVBVQrNj3ev9M3BNz+szElQ3n3/TfEl3qQ==" saltValue="EZxqCyY7QrENN0a1ZXZyng==" spinCount="100000" sheet="1" selectLockedCells="1"/>
  <mergeCells count="6">
    <mergeCell ref="B5:D5"/>
    <mergeCell ref="E2:G5"/>
    <mergeCell ref="A1:H1"/>
    <mergeCell ref="B2:D2"/>
    <mergeCell ref="B3:D3"/>
    <mergeCell ref="B4:D4"/>
  </mergeCells>
  <conditionalFormatting sqref="H7:H79">
    <cfRule type="cellIs" dxfId="4" priority="1" operator="lessThan">
      <formula>0</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CA045-CD49-49CC-91F4-D8E7747F6F1D}">
  <dimension ref="A1:I783"/>
  <sheetViews>
    <sheetView zoomScale="85" zoomScaleNormal="85" workbookViewId="0">
      <selection activeCell="D19" sqref="D19"/>
    </sheetView>
  </sheetViews>
  <sheetFormatPr defaultColWidth="8.81640625"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453125" customWidth="1"/>
    <col min="8" max="8" width="15.6328125" customWidth="1"/>
    <col min="9" max="9" width="26" customWidth="1"/>
    <col min="10" max="33" width="15.6328125" customWidth="1"/>
  </cols>
  <sheetData>
    <row r="1" spans="1:9" ht="94.25" customHeight="1" thickBot="1" x14ac:dyDescent="0.4">
      <c r="A1" s="39" t="s">
        <v>19</v>
      </c>
      <c r="B1" s="40"/>
      <c r="C1" s="40"/>
      <c r="D1" s="40"/>
      <c r="E1" s="40"/>
      <c r="F1" s="40"/>
      <c r="G1" s="40"/>
      <c r="H1" s="41"/>
    </row>
    <row r="2" spans="1:9" ht="25" customHeight="1" x14ac:dyDescent="0.35">
      <c r="A2" s="36" t="s">
        <v>6</v>
      </c>
      <c r="B2" s="58"/>
      <c r="C2" s="52"/>
      <c r="D2" s="53"/>
      <c r="E2" s="45" t="s">
        <v>15</v>
      </c>
      <c r="F2" s="46"/>
      <c r="G2" s="46"/>
    </row>
    <row r="3" spans="1:9" ht="25" customHeight="1" x14ac:dyDescent="0.35">
      <c r="A3" s="36" t="s">
        <v>5</v>
      </c>
      <c r="B3" s="54"/>
      <c r="C3" s="55"/>
      <c r="D3" s="56"/>
      <c r="E3" s="47"/>
      <c r="F3" s="48"/>
      <c r="G3" s="48"/>
    </row>
    <row r="4" spans="1:9" ht="25" customHeight="1" thickBot="1" x14ac:dyDescent="0.4">
      <c r="A4" s="36" t="s">
        <v>4</v>
      </c>
      <c r="B4" s="57" t="s">
        <v>9</v>
      </c>
      <c r="C4" s="43"/>
      <c r="D4" s="44"/>
      <c r="E4" s="47"/>
      <c r="F4" s="48"/>
      <c r="G4" s="48"/>
    </row>
    <row r="5" spans="1:9" ht="59.5" customHeight="1" thickBot="1" x14ac:dyDescent="0.4">
      <c r="A5" s="37" t="s">
        <v>11</v>
      </c>
      <c r="B5" s="57" t="s">
        <v>12</v>
      </c>
      <c r="C5" s="43"/>
      <c r="D5" s="44"/>
      <c r="E5" s="49"/>
      <c r="F5" s="50"/>
      <c r="G5" s="50"/>
    </row>
    <row r="6" spans="1:9" s="1" customFormat="1" ht="25" customHeight="1" thickBot="1" x14ac:dyDescent="0.4">
      <c r="A6" s="3" t="s">
        <v>7</v>
      </c>
      <c r="B6" s="4" t="s">
        <v>0</v>
      </c>
      <c r="C6" s="5" t="s">
        <v>1</v>
      </c>
      <c r="D6" s="10" t="s">
        <v>2</v>
      </c>
      <c r="E6" s="8" t="s">
        <v>3</v>
      </c>
      <c r="F6" s="4" t="s">
        <v>7</v>
      </c>
      <c r="G6" s="6" t="s">
        <v>10</v>
      </c>
      <c r="H6" s="4" t="s">
        <v>8</v>
      </c>
    </row>
    <row r="7" spans="1:9" ht="25" customHeight="1" x14ac:dyDescent="0.35">
      <c r="A7" s="30"/>
      <c r="B7" s="12"/>
      <c r="C7" s="18"/>
      <c r="D7" s="19"/>
      <c r="E7" s="20"/>
      <c r="F7" s="33"/>
      <c r="G7" s="15"/>
      <c r="H7" s="11">
        <f t="shared" ref="H7" si="0">(E7-D7)*24</f>
        <v>0</v>
      </c>
      <c r="I7" s="9"/>
    </row>
    <row r="8" spans="1:9" ht="25" customHeight="1" x14ac:dyDescent="0.45">
      <c r="A8" s="31"/>
      <c r="B8" s="13"/>
      <c r="C8" s="21"/>
      <c r="D8" s="19"/>
      <c r="E8" s="22"/>
      <c r="F8" s="34"/>
      <c r="G8" s="16"/>
      <c r="H8" s="26">
        <f>(E8-D8)*24</f>
        <v>0</v>
      </c>
    </row>
    <row r="9" spans="1:9" ht="25" customHeight="1" x14ac:dyDescent="0.45">
      <c r="A9" s="31"/>
      <c r="B9" s="13"/>
      <c r="C9" s="21"/>
      <c r="D9" s="19"/>
      <c r="E9" s="22"/>
      <c r="F9" s="34"/>
      <c r="G9" s="16"/>
      <c r="H9" s="26">
        <f t="shared" ref="H9:H72" si="1">(E9-D9)*24</f>
        <v>0</v>
      </c>
    </row>
    <row r="10" spans="1:9" ht="25" customHeight="1" x14ac:dyDescent="0.45">
      <c r="A10" s="31"/>
      <c r="B10" s="13"/>
      <c r="C10" s="21"/>
      <c r="D10" s="19"/>
      <c r="E10" s="22"/>
      <c r="F10" s="34"/>
      <c r="G10" s="16"/>
      <c r="H10" s="26">
        <f t="shared" si="1"/>
        <v>0</v>
      </c>
    </row>
    <row r="11" spans="1:9" ht="25" customHeight="1" x14ac:dyDescent="0.45">
      <c r="A11" s="31"/>
      <c r="B11" s="13"/>
      <c r="C11" s="21"/>
      <c r="D11" s="19"/>
      <c r="E11" s="22"/>
      <c r="F11" s="34"/>
      <c r="G11" s="16"/>
      <c r="H11" s="26">
        <f t="shared" si="1"/>
        <v>0</v>
      </c>
    </row>
    <row r="12" spans="1:9" ht="25" customHeight="1" x14ac:dyDescent="0.45">
      <c r="A12" s="31"/>
      <c r="B12" s="13"/>
      <c r="C12" s="21"/>
      <c r="D12" s="19"/>
      <c r="E12" s="22"/>
      <c r="F12" s="34"/>
      <c r="G12" s="16"/>
      <c r="H12" s="26">
        <f t="shared" si="1"/>
        <v>0</v>
      </c>
    </row>
    <row r="13" spans="1:9" ht="25" customHeight="1" x14ac:dyDescent="0.45">
      <c r="A13" s="31"/>
      <c r="B13" s="13"/>
      <c r="C13" s="21"/>
      <c r="D13" s="19"/>
      <c r="E13" s="22"/>
      <c r="F13" s="34"/>
      <c r="G13" s="16"/>
      <c r="H13" s="26">
        <f t="shared" si="1"/>
        <v>0</v>
      </c>
    </row>
    <row r="14" spans="1:9" ht="25" customHeight="1" x14ac:dyDescent="0.45">
      <c r="A14" s="31"/>
      <c r="B14" s="13"/>
      <c r="C14" s="21"/>
      <c r="D14" s="19"/>
      <c r="E14" s="22"/>
      <c r="F14" s="34"/>
      <c r="G14" s="16"/>
      <c r="H14" s="26">
        <f t="shared" si="1"/>
        <v>0</v>
      </c>
    </row>
    <row r="15" spans="1:9" ht="25" customHeight="1" x14ac:dyDescent="0.45">
      <c r="A15" s="31"/>
      <c r="B15" s="13"/>
      <c r="C15" s="21"/>
      <c r="D15" s="19"/>
      <c r="E15" s="22"/>
      <c r="F15" s="34"/>
      <c r="G15" s="16"/>
      <c r="H15" s="26">
        <f t="shared" si="1"/>
        <v>0</v>
      </c>
    </row>
    <row r="16" spans="1:9" ht="25" customHeight="1" x14ac:dyDescent="0.45">
      <c r="A16" s="31"/>
      <c r="B16" s="13"/>
      <c r="C16" s="21"/>
      <c r="D16" s="19"/>
      <c r="E16" s="22"/>
      <c r="F16" s="34"/>
      <c r="G16" s="16"/>
      <c r="H16" s="26">
        <f t="shared" si="1"/>
        <v>0</v>
      </c>
    </row>
    <row r="17" spans="1:8" ht="25" customHeight="1" x14ac:dyDescent="0.45">
      <c r="A17" s="31"/>
      <c r="B17" s="13"/>
      <c r="C17" s="21"/>
      <c r="D17" s="19"/>
      <c r="E17" s="22"/>
      <c r="F17" s="34"/>
      <c r="G17" s="16"/>
      <c r="H17" s="26">
        <f t="shared" si="1"/>
        <v>0</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0</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pBB1B6Jl5bWlgX5J9HIPcTLMRfUtjrC8U8UcadQhcg1K0x18mldmvWG7OFcVLeuq2aKLelfiglQUZIrMfjSMxw==" saltValue="64RiY70eYZTw84dghxzMqA==" spinCount="100000" sheet="1" selectLockedCells="1"/>
  <mergeCells count="6">
    <mergeCell ref="B5:D5"/>
    <mergeCell ref="E2:G5"/>
    <mergeCell ref="A1:H1"/>
    <mergeCell ref="B2:D2"/>
    <mergeCell ref="B3:D3"/>
    <mergeCell ref="B4:D4"/>
  </mergeCells>
  <conditionalFormatting sqref="H7:H79">
    <cfRule type="cellIs" dxfId="3" priority="1" operator="lessThan">
      <formula>0</formula>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9D22A-4121-4F88-8FCD-F880315259C6}">
  <dimension ref="A1:I783"/>
  <sheetViews>
    <sheetView topLeftCell="E1" zoomScale="85" zoomScaleNormal="85" workbookViewId="0">
      <selection activeCell="G7" sqref="G7"/>
    </sheetView>
  </sheetViews>
  <sheetFormatPr defaultColWidth="8.81640625"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453125" customWidth="1"/>
    <col min="8" max="8" width="15.6328125" customWidth="1"/>
    <col min="9" max="9" width="26" customWidth="1"/>
    <col min="10" max="33" width="15.6328125" customWidth="1"/>
  </cols>
  <sheetData>
    <row r="1" spans="1:9" ht="94.25" customHeight="1" thickBot="1" x14ac:dyDescent="0.4">
      <c r="A1" s="39" t="s">
        <v>19</v>
      </c>
      <c r="B1" s="40"/>
      <c r="C1" s="40"/>
      <c r="D1" s="40"/>
      <c r="E1" s="40"/>
      <c r="F1" s="40"/>
      <c r="G1" s="40"/>
      <c r="H1" s="41"/>
    </row>
    <row r="2" spans="1:9" ht="25" customHeight="1" x14ac:dyDescent="0.35">
      <c r="A2" s="36" t="s">
        <v>6</v>
      </c>
      <c r="B2" s="58"/>
      <c r="C2" s="52"/>
      <c r="D2" s="53"/>
      <c r="E2" s="45" t="s">
        <v>16</v>
      </c>
      <c r="F2" s="46"/>
      <c r="G2" s="46"/>
    </row>
    <row r="3" spans="1:9" ht="25" customHeight="1" x14ac:dyDescent="0.35">
      <c r="A3" s="36" t="s">
        <v>5</v>
      </c>
      <c r="B3" s="54"/>
      <c r="C3" s="55"/>
      <c r="D3" s="56"/>
      <c r="E3" s="47"/>
      <c r="F3" s="48"/>
      <c r="G3" s="48"/>
    </row>
    <row r="4" spans="1:9" ht="25" customHeight="1" thickBot="1" x14ac:dyDescent="0.4">
      <c r="A4" s="36" t="s">
        <v>4</v>
      </c>
      <c r="B4" s="57" t="s">
        <v>9</v>
      </c>
      <c r="C4" s="43"/>
      <c r="D4" s="44"/>
      <c r="E4" s="47"/>
      <c r="F4" s="48"/>
      <c r="G4" s="48"/>
    </row>
    <row r="5" spans="1:9" ht="59.5" customHeight="1" thickBot="1" x14ac:dyDescent="0.4">
      <c r="A5" s="37" t="s">
        <v>11</v>
      </c>
      <c r="B5" s="57" t="s">
        <v>12</v>
      </c>
      <c r="C5" s="43"/>
      <c r="D5" s="44"/>
      <c r="E5" s="49"/>
      <c r="F5" s="50"/>
      <c r="G5" s="50"/>
    </row>
    <row r="6" spans="1:9" s="1" customFormat="1" ht="25" customHeight="1" thickBot="1" x14ac:dyDescent="0.4">
      <c r="A6" s="3" t="s">
        <v>7</v>
      </c>
      <c r="B6" s="4" t="s">
        <v>0</v>
      </c>
      <c r="C6" s="5" t="s">
        <v>1</v>
      </c>
      <c r="D6" s="10" t="s">
        <v>2</v>
      </c>
      <c r="E6" s="8" t="s">
        <v>3</v>
      </c>
      <c r="F6" s="4" t="s">
        <v>7</v>
      </c>
      <c r="G6" s="6" t="s">
        <v>10</v>
      </c>
      <c r="H6" s="4" t="s">
        <v>8</v>
      </c>
    </row>
    <row r="7" spans="1:9" ht="25" customHeight="1" x14ac:dyDescent="0.35">
      <c r="A7" s="30"/>
      <c r="B7" s="12"/>
      <c r="C7" s="18"/>
      <c r="D7" s="19"/>
      <c r="E7" s="20"/>
      <c r="F7" s="33"/>
      <c r="G7" s="15"/>
      <c r="H7" s="11">
        <f t="shared" ref="H7" si="0">(E7-D7)*24</f>
        <v>0</v>
      </c>
      <c r="I7" s="9"/>
    </row>
    <row r="8" spans="1:9" ht="25" customHeight="1" x14ac:dyDescent="0.45">
      <c r="A8" s="31"/>
      <c r="B8" s="13"/>
      <c r="C8" s="21"/>
      <c r="D8" s="19"/>
      <c r="E8" s="22"/>
      <c r="F8" s="34"/>
      <c r="G8" s="16"/>
      <c r="H8" s="26">
        <f>(E8-D8)*24</f>
        <v>0</v>
      </c>
    </row>
    <row r="9" spans="1:9" ht="25" customHeight="1" x14ac:dyDescent="0.45">
      <c r="A9" s="31"/>
      <c r="B9" s="13"/>
      <c r="C9" s="21"/>
      <c r="D9" s="19"/>
      <c r="E9" s="22"/>
      <c r="F9" s="34"/>
      <c r="G9" s="16"/>
      <c r="H9" s="26">
        <f t="shared" ref="H9:H72" si="1">(E9-D9)*24</f>
        <v>0</v>
      </c>
    </row>
    <row r="10" spans="1:9" ht="25" customHeight="1" x14ac:dyDescent="0.45">
      <c r="A10" s="31"/>
      <c r="B10" s="13"/>
      <c r="C10" s="21"/>
      <c r="D10" s="19"/>
      <c r="E10" s="22"/>
      <c r="F10" s="34"/>
      <c r="G10" s="16"/>
      <c r="H10" s="26">
        <f t="shared" si="1"/>
        <v>0</v>
      </c>
    </row>
    <row r="11" spans="1:9" ht="25" customHeight="1" x14ac:dyDescent="0.45">
      <c r="A11" s="31"/>
      <c r="B11" s="13"/>
      <c r="C11" s="21"/>
      <c r="D11" s="19"/>
      <c r="E11" s="22"/>
      <c r="F11" s="34"/>
      <c r="G11" s="16"/>
      <c r="H11" s="26">
        <f t="shared" si="1"/>
        <v>0</v>
      </c>
    </row>
    <row r="12" spans="1:9" ht="25" customHeight="1" x14ac:dyDescent="0.45">
      <c r="A12" s="31"/>
      <c r="B12" s="13"/>
      <c r="C12" s="21"/>
      <c r="D12" s="19"/>
      <c r="E12" s="22"/>
      <c r="F12" s="34"/>
      <c r="G12" s="16"/>
      <c r="H12" s="26">
        <f t="shared" si="1"/>
        <v>0</v>
      </c>
    </row>
    <row r="13" spans="1:9" ht="25" customHeight="1" x14ac:dyDescent="0.45">
      <c r="A13" s="31"/>
      <c r="B13" s="13"/>
      <c r="C13" s="21"/>
      <c r="D13" s="19"/>
      <c r="E13" s="22"/>
      <c r="F13" s="34"/>
      <c r="G13" s="16"/>
      <c r="H13" s="26">
        <f t="shared" si="1"/>
        <v>0</v>
      </c>
    </row>
    <row r="14" spans="1:9" ht="25" customHeight="1" x14ac:dyDescent="0.45">
      <c r="A14" s="31"/>
      <c r="B14" s="13"/>
      <c r="C14" s="21"/>
      <c r="D14" s="19"/>
      <c r="E14" s="22"/>
      <c r="F14" s="34"/>
      <c r="G14" s="16"/>
      <c r="H14" s="26">
        <f t="shared" si="1"/>
        <v>0</v>
      </c>
    </row>
    <row r="15" spans="1:9" ht="25" customHeight="1" x14ac:dyDescent="0.45">
      <c r="A15" s="31"/>
      <c r="B15" s="13"/>
      <c r="C15" s="21"/>
      <c r="D15" s="19"/>
      <c r="E15" s="22"/>
      <c r="F15" s="34"/>
      <c r="G15" s="16"/>
      <c r="H15" s="26">
        <f t="shared" si="1"/>
        <v>0</v>
      </c>
    </row>
    <row r="16" spans="1:9" ht="25" customHeight="1" x14ac:dyDescent="0.45">
      <c r="A16" s="31"/>
      <c r="B16" s="13"/>
      <c r="C16" s="21"/>
      <c r="D16" s="19"/>
      <c r="E16" s="22"/>
      <c r="F16" s="34"/>
      <c r="G16" s="16"/>
      <c r="H16" s="26">
        <f t="shared" si="1"/>
        <v>0</v>
      </c>
    </row>
    <row r="17" spans="1:8" ht="25" customHeight="1" x14ac:dyDescent="0.45">
      <c r="A17" s="31"/>
      <c r="B17" s="13"/>
      <c r="C17" s="21"/>
      <c r="D17" s="19"/>
      <c r="E17" s="22"/>
      <c r="F17" s="34"/>
      <c r="G17" s="16"/>
      <c r="H17" s="26">
        <f t="shared" si="1"/>
        <v>0</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0</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o2flSZBlVhzyZx7NAUThZ2ErdbmdurVNw8Gfx368Q0Y5n3pgNixItMcI/CCjGRC4ifVKL/bCx1j8JI6VXsVgA==" saltValue="OQslXnuivUJ6TrCtkxP52g==" spinCount="100000" sheet="1" selectLockedCells="1"/>
  <mergeCells count="6">
    <mergeCell ref="B5:D5"/>
    <mergeCell ref="E2:G5"/>
    <mergeCell ref="A1:H1"/>
    <mergeCell ref="B2:D2"/>
    <mergeCell ref="B3:D3"/>
    <mergeCell ref="B4:D4"/>
  </mergeCells>
  <conditionalFormatting sqref="H7:H79">
    <cfRule type="cellIs" dxfId="2" priority="1" operator="lessThan">
      <formula>0</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C5635-BB81-4716-B442-28EF74567593}">
  <dimension ref="A1:I783"/>
  <sheetViews>
    <sheetView tabSelected="1" topLeftCell="E7" zoomScale="85" zoomScaleNormal="85" workbookViewId="0">
      <selection activeCell="G14" sqref="G14"/>
    </sheetView>
  </sheetViews>
  <sheetFormatPr defaultColWidth="8.81640625"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453125" customWidth="1"/>
    <col min="8" max="8" width="15.6328125" customWidth="1"/>
    <col min="9" max="9" width="26" customWidth="1"/>
    <col min="10" max="33" width="15.6328125" customWidth="1"/>
  </cols>
  <sheetData>
    <row r="1" spans="1:9" ht="94.25" customHeight="1" thickBot="1" x14ac:dyDescent="0.4">
      <c r="A1" s="39" t="s">
        <v>19</v>
      </c>
      <c r="B1" s="40"/>
      <c r="C1" s="40"/>
      <c r="D1" s="40"/>
      <c r="E1" s="40"/>
      <c r="F1" s="40"/>
      <c r="G1" s="40"/>
      <c r="H1" s="41"/>
    </row>
    <row r="2" spans="1:9" ht="25" customHeight="1" x14ac:dyDescent="0.35">
      <c r="A2" s="36" t="s">
        <v>6</v>
      </c>
      <c r="B2" s="51" t="s">
        <v>21</v>
      </c>
      <c r="C2" s="52"/>
      <c r="D2" s="53"/>
      <c r="E2" s="45" t="s">
        <v>17</v>
      </c>
      <c r="F2" s="46"/>
      <c r="G2" s="46"/>
    </row>
    <row r="3" spans="1:9" ht="25" customHeight="1" x14ac:dyDescent="0.35">
      <c r="A3" s="36" t="s">
        <v>5</v>
      </c>
      <c r="B3" s="54">
        <v>301599263</v>
      </c>
      <c r="C3" s="55"/>
      <c r="D3" s="56"/>
      <c r="E3" s="47"/>
      <c r="F3" s="48"/>
      <c r="G3" s="48"/>
    </row>
    <row r="4" spans="1:9" ht="25" customHeight="1" thickBot="1" x14ac:dyDescent="0.4">
      <c r="A4" s="36" t="s">
        <v>4</v>
      </c>
      <c r="B4" s="57" t="s">
        <v>9</v>
      </c>
      <c r="C4" s="43"/>
      <c r="D4" s="44"/>
      <c r="E4" s="47"/>
      <c r="F4" s="48"/>
      <c r="G4" s="48"/>
    </row>
    <row r="5" spans="1:9" ht="59.5" customHeight="1" thickBot="1" x14ac:dyDescent="0.4">
      <c r="A5" s="37" t="s">
        <v>11</v>
      </c>
      <c r="B5" s="57" t="s">
        <v>12</v>
      </c>
      <c r="C5" s="43"/>
      <c r="D5" s="44"/>
      <c r="E5" s="49"/>
      <c r="F5" s="50"/>
      <c r="G5" s="50"/>
    </row>
    <row r="6" spans="1:9" s="1" customFormat="1" ht="25" customHeight="1" thickBot="1" x14ac:dyDescent="0.4">
      <c r="A6" s="3" t="s">
        <v>7</v>
      </c>
      <c r="B6" s="4" t="s">
        <v>0</v>
      </c>
      <c r="C6" s="5" t="s">
        <v>1</v>
      </c>
      <c r="D6" s="10" t="s">
        <v>2</v>
      </c>
      <c r="E6" s="8" t="s">
        <v>3</v>
      </c>
      <c r="F6" s="4" t="s">
        <v>7</v>
      </c>
      <c r="G6" s="6" t="s">
        <v>10</v>
      </c>
      <c r="H6" s="4" t="s">
        <v>8</v>
      </c>
    </row>
    <row r="7" spans="1:9" ht="25" customHeight="1" x14ac:dyDescent="0.35">
      <c r="A7" s="30"/>
      <c r="B7" s="12">
        <v>9263</v>
      </c>
      <c r="C7" s="18">
        <v>45963</v>
      </c>
      <c r="D7" s="19">
        <v>0</v>
      </c>
      <c r="E7" s="20">
        <v>4.8611111111111112E-2</v>
      </c>
      <c r="F7" s="33"/>
      <c r="G7" s="15" t="s">
        <v>34</v>
      </c>
      <c r="H7" s="11">
        <f t="shared" ref="H7" si="0">(E7-D7)*24</f>
        <v>1.1666666666666667</v>
      </c>
      <c r="I7" s="9"/>
    </row>
    <row r="8" spans="1:9" ht="25" customHeight="1" x14ac:dyDescent="0.45">
      <c r="A8" s="31"/>
      <c r="B8" s="13">
        <v>9263</v>
      </c>
      <c r="C8" s="21">
        <v>45963</v>
      </c>
      <c r="D8" s="19">
        <v>4.8611111111111112E-2</v>
      </c>
      <c r="E8" s="22">
        <v>7.0833333333333331E-2</v>
      </c>
      <c r="F8" s="34"/>
      <c r="G8" s="16" t="s">
        <v>35</v>
      </c>
      <c r="H8" s="26">
        <f>(E8-D8)*24</f>
        <v>0.53333333333333321</v>
      </c>
    </row>
    <row r="9" spans="1:9" ht="25" customHeight="1" x14ac:dyDescent="0.45">
      <c r="A9" s="31"/>
      <c r="B9" s="13">
        <v>9263</v>
      </c>
      <c r="C9" s="21">
        <v>45972</v>
      </c>
      <c r="D9" s="19">
        <v>0.52083333333333337</v>
      </c>
      <c r="E9" s="22">
        <v>0.5625</v>
      </c>
      <c r="F9" s="34"/>
      <c r="G9" s="16" t="s">
        <v>36</v>
      </c>
      <c r="H9" s="26">
        <f t="shared" ref="H9:H72" si="1">(E9-D9)*24</f>
        <v>0.99999999999999911</v>
      </c>
    </row>
    <row r="10" spans="1:9" ht="25" customHeight="1" x14ac:dyDescent="0.45">
      <c r="A10" s="31"/>
      <c r="B10" s="13">
        <v>9263</v>
      </c>
      <c r="C10" s="21">
        <v>45972</v>
      </c>
      <c r="D10" s="19">
        <v>0.5625</v>
      </c>
      <c r="E10" s="22">
        <v>0.625</v>
      </c>
      <c r="F10" s="34"/>
      <c r="G10" s="16" t="s">
        <v>37</v>
      </c>
      <c r="H10" s="26">
        <f t="shared" si="1"/>
        <v>1.5</v>
      </c>
    </row>
    <row r="11" spans="1:9" ht="25" customHeight="1" x14ac:dyDescent="0.45">
      <c r="A11" s="31"/>
      <c r="B11" s="13">
        <v>9263</v>
      </c>
      <c r="C11" s="21">
        <v>45973</v>
      </c>
      <c r="D11" s="19">
        <v>0.6875</v>
      </c>
      <c r="E11" s="22">
        <v>0.74305555555555558</v>
      </c>
      <c r="F11" s="34"/>
      <c r="G11" s="16" t="s">
        <v>38</v>
      </c>
      <c r="H11" s="26">
        <f t="shared" si="1"/>
        <v>1.3333333333333339</v>
      </c>
    </row>
    <row r="12" spans="1:9" ht="25" customHeight="1" x14ac:dyDescent="0.45">
      <c r="A12" s="31"/>
      <c r="B12" s="13"/>
      <c r="C12" s="21"/>
      <c r="D12" s="19">
        <v>0.875</v>
      </c>
      <c r="E12" s="22">
        <v>0.90625</v>
      </c>
      <c r="F12" s="34"/>
      <c r="G12" s="16" t="s">
        <v>39</v>
      </c>
      <c r="H12" s="26">
        <f t="shared" si="1"/>
        <v>0.75</v>
      </c>
    </row>
    <row r="13" spans="1:9" ht="25" customHeight="1" x14ac:dyDescent="0.45">
      <c r="A13" s="31"/>
      <c r="B13" s="13"/>
      <c r="C13" s="21"/>
      <c r="D13" s="19">
        <v>0.90625</v>
      </c>
      <c r="E13" s="22">
        <v>0.94444444444444442</v>
      </c>
      <c r="F13" s="34"/>
      <c r="G13" s="16" t="s">
        <v>40</v>
      </c>
      <c r="H13" s="26">
        <f t="shared" si="1"/>
        <v>0.91666666666666607</v>
      </c>
    </row>
    <row r="14" spans="1:9" ht="25" customHeight="1" x14ac:dyDescent="0.45">
      <c r="A14" s="31"/>
      <c r="B14" s="13"/>
      <c r="C14" s="21"/>
      <c r="D14" s="19">
        <v>0.94444444444444442</v>
      </c>
      <c r="E14" s="22">
        <v>0.97222222222222221</v>
      </c>
      <c r="F14" s="34"/>
      <c r="G14" s="16" t="s">
        <v>41</v>
      </c>
      <c r="H14" s="26">
        <f t="shared" si="1"/>
        <v>0.66666666666666696</v>
      </c>
    </row>
    <row r="15" spans="1:9" ht="25" customHeight="1" x14ac:dyDescent="0.45">
      <c r="A15" s="31"/>
      <c r="B15" s="13"/>
      <c r="C15" s="21"/>
      <c r="D15" s="19"/>
      <c r="E15" s="22"/>
      <c r="F15" s="34"/>
      <c r="G15" s="16"/>
      <c r="H15" s="26">
        <f t="shared" si="1"/>
        <v>0</v>
      </c>
    </row>
    <row r="16" spans="1:9" ht="25" customHeight="1" x14ac:dyDescent="0.45">
      <c r="A16" s="31"/>
      <c r="B16" s="13"/>
      <c r="C16" s="21"/>
      <c r="D16" s="19"/>
      <c r="E16" s="22"/>
      <c r="F16" s="34"/>
      <c r="G16" s="16"/>
      <c r="H16" s="26">
        <f t="shared" si="1"/>
        <v>0</v>
      </c>
    </row>
    <row r="17" spans="1:8" ht="25" customHeight="1" x14ac:dyDescent="0.45">
      <c r="A17" s="31"/>
      <c r="B17" s="13"/>
      <c r="C17" s="21"/>
      <c r="D17" s="19"/>
      <c r="E17" s="22"/>
      <c r="F17" s="34"/>
      <c r="G17" s="16"/>
      <c r="H17" s="26">
        <f t="shared" si="1"/>
        <v>0</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7.8666666666666663</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ab+0OUaRwtdRNuNehRIG09D6m3rwaYPwlXuzD5hzmAncHxofPoYXO1kHWIaG7vQ4fjCsHBdzMWewpvo2u9PYPA==" saltValue="T2XS4o1rjox7AYmhUbWHrg==" spinCount="100000" sheet="1" selectLockedCells="1"/>
  <mergeCells count="6">
    <mergeCell ref="B5:D5"/>
    <mergeCell ref="E2:G5"/>
    <mergeCell ref="A1:H1"/>
    <mergeCell ref="B2:D2"/>
    <mergeCell ref="B3:D3"/>
    <mergeCell ref="B4:D4"/>
  </mergeCells>
  <conditionalFormatting sqref="H7:H79">
    <cfRule type="cellIs" dxfId="1" priority="1"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ED784-1E0D-4E86-A01D-1FC00F00DC03}">
  <dimension ref="A1:I783"/>
  <sheetViews>
    <sheetView zoomScale="85" zoomScaleNormal="85" workbookViewId="0">
      <selection activeCell="E15" sqref="E15"/>
    </sheetView>
  </sheetViews>
  <sheetFormatPr defaultColWidth="8.81640625" defaultRowHeight="14.5" x14ac:dyDescent="0.35"/>
  <cols>
    <col min="1" max="1" width="37.36328125" customWidth="1"/>
    <col min="2" max="2" width="15.6328125" customWidth="1"/>
    <col min="3" max="3" width="15.6328125" style="2" customWidth="1"/>
    <col min="4" max="5" width="15.6328125" style="7" customWidth="1"/>
    <col min="6" max="6" width="15.6328125" customWidth="1"/>
    <col min="7" max="7" width="189.453125" customWidth="1"/>
    <col min="8" max="8" width="15.6328125" customWidth="1"/>
    <col min="9" max="9" width="26" customWidth="1"/>
    <col min="10" max="33" width="15.6328125" customWidth="1"/>
  </cols>
  <sheetData>
    <row r="1" spans="1:9" ht="94.25" customHeight="1" thickBot="1" x14ac:dyDescent="0.4">
      <c r="A1" s="39" t="s">
        <v>19</v>
      </c>
      <c r="B1" s="40"/>
      <c r="C1" s="40"/>
      <c r="D1" s="40"/>
      <c r="E1" s="40"/>
      <c r="F1" s="40"/>
      <c r="G1" s="40"/>
      <c r="H1" s="41"/>
    </row>
    <row r="2" spans="1:9" ht="25" customHeight="1" x14ac:dyDescent="0.35">
      <c r="A2" s="36" t="s">
        <v>6</v>
      </c>
      <c r="B2" s="58"/>
      <c r="C2" s="52"/>
      <c r="D2" s="53"/>
      <c r="E2" s="45" t="s">
        <v>18</v>
      </c>
      <c r="F2" s="46"/>
      <c r="G2" s="46"/>
    </row>
    <row r="3" spans="1:9" ht="25" customHeight="1" x14ac:dyDescent="0.35">
      <c r="A3" s="36" t="s">
        <v>5</v>
      </c>
      <c r="B3" s="54"/>
      <c r="C3" s="55"/>
      <c r="D3" s="56"/>
      <c r="E3" s="47"/>
      <c r="F3" s="48"/>
      <c r="G3" s="48"/>
    </row>
    <row r="4" spans="1:9" ht="25" customHeight="1" thickBot="1" x14ac:dyDescent="0.4">
      <c r="A4" s="36" t="s">
        <v>4</v>
      </c>
      <c r="B4" s="57" t="s">
        <v>9</v>
      </c>
      <c r="C4" s="43"/>
      <c r="D4" s="44"/>
      <c r="E4" s="47"/>
      <c r="F4" s="48"/>
      <c r="G4" s="48"/>
    </row>
    <row r="5" spans="1:9" ht="59.5" customHeight="1" thickBot="1" x14ac:dyDescent="0.4">
      <c r="A5" s="37" t="s">
        <v>11</v>
      </c>
      <c r="B5" s="57" t="s">
        <v>12</v>
      </c>
      <c r="C5" s="43"/>
      <c r="D5" s="44"/>
      <c r="E5" s="49"/>
      <c r="F5" s="50"/>
      <c r="G5" s="50"/>
    </row>
    <row r="6" spans="1:9" s="1" customFormat="1" ht="25" customHeight="1" thickBot="1" x14ac:dyDescent="0.4">
      <c r="A6" s="3" t="s">
        <v>7</v>
      </c>
      <c r="B6" s="4" t="s">
        <v>0</v>
      </c>
      <c r="C6" s="5" t="s">
        <v>1</v>
      </c>
      <c r="D6" s="10" t="s">
        <v>2</v>
      </c>
      <c r="E6" s="8" t="s">
        <v>3</v>
      </c>
      <c r="F6" s="4" t="s">
        <v>7</v>
      </c>
      <c r="G6" s="6" t="s">
        <v>10</v>
      </c>
      <c r="H6" s="4" t="s">
        <v>8</v>
      </c>
    </row>
    <row r="7" spans="1:9" ht="25" customHeight="1" x14ac:dyDescent="0.35">
      <c r="A7" s="30"/>
      <c r="B7" s="12"/>
      <c r="C7" s="18"/>
      <c r="D7" s="19"/>
      <c r="E7" s="20"/>
      <c r="F7" s="33"/>
      <c r="G7" s="15"/>
      <c r="H7" s="11">
        <f t="shared" ref="H7" si="0">(E7-D7)*24</f>
        <v>0</v>
      </c>
      <c r="I7" s="9"/>
    </row>
    <row r="8" spans="1:9" ht="25" customHeight="1" x14ac:dyDescent="0.45">
      <c r="A8" s="31"/>
      <c r="B8" s="13"/>
      <c r="C8" s="21"/>
      <c r="D8" s="19"/>
      <c r="E8" s="22"/>
      <c r="F8" s="34"/>
      <c r="G8" s="16"/>
      <c r="H8" s="26">
        <f>(E8-D8)*24</f>
        <v>0</v>
      </c>
    </row>
    <row r="9" spans="1:9" ht="25" customHeight="1" x14ac:dyDescent="0.45">
      <c r="A9" s="31"/>
      <c r="B9" s="13"/>
      <c r="C9" s="21"/>
      <c r="D9" s="19"/>
      <c r="E9" s="22"/>
      <c r="F9" s="34"/>
      <c r="G9" s="16"/>
      <c r="H9" s="26">
        <f t="shared" ref="H9:H72" si="1">(E9-D9)*24</f>
        <v>0</v>
      </c>
    </row>
    <row r="10" spans="1:9" ht="25" customHeight="1" x14ac:dyDescent="0.45">
      <c r="A10" s="31"/>
      <c r="B10" s="13"/>
      <c r="C10" s="21"/>
      <c r="D10" s="19"/>
      <c r="E10" s="22"/>
      <c r="F10" s="34"/>
      <c r="G10" s="16"/>
      <c r="H10" s="26">
        <f t="shared" si="1"/>
        <v>0</v>
      </c>
    </row>
    <row r="11" spans="1:9" ht="25" customHeight="1" x14ac:dyDescent="0.45">
      <c r="A11" s="31"/>
      <c r="B11" s="13"/>
      <c r="C11" s="21"/>
      <c r="D11" s="19"/>
      <c r="E11" s="22"/>
      <c r="F11" s="34"/>
      <c r="G11" s="16"/>
      <c r="H11" s="26">
        <f t="shared" si="1"/>
        <v>0</v>
      </c>
    </row>
    <row r="12" spans="1:9" ht="25" customHeight="1" x14ac:dyDescent="0.45">
      <c r="A12" s="31"/>
      <c r="B12" s="13"/>
      <c r="C12" s="21"/>
      <c r="D12" s="19"/>
      <c r="E12" s="22"/>
      <c r="F12" s="34"/>
      <c r="G12" s="16"/>
      <c r="H12" s="26">
        <f t="shared" si="1"/>
        <v>0</v>
      </c>
    </row>
    <row r="13" spans="1:9" ht="25" customHeight="1" x14ac:dyDescent="0.45">
      <c r="A13" s="31"/>
      <c r="B13" s="13"/>
      <c r="C13" s="21"/>
      <c r="D13" s="19"/>
      <c r="E13" s="22"/>
      <c r="F13" s="34"/>
      <c r="G13" s="16"/>
      <c r="H13" s="26">
        <f t="shared" si="1"/>
        <v>0</v>
      </c>
    </row>
    <row r="14" spans="1:9" ht="25" customHeight="1" x14ac:dyDescent="0.45">
      <c r="A14" s="31"/>
      <c r="B14" s="13"/>
      <c r="C14" s="21"/>
      <c r="D14" s="19"/>
      <c r="E14" s="22"/>
      <c r="F14" s="34"/>
      <c r="G14" s="16"/>
      <c r="H14" s="26">
        <f t="shared" si="1"/>
        <v>0</v>
      </c>
    </row>
    <row r="15" spans="1:9" ht="25" customHeight="1" x14ac:dyDescent="0.45">
      <c r="A15" s="31"/>
      <c r="B15" s="13"/>
      <c r="C15" s="21"/>
      <c r="D15" s="19"/>
      <c r="E15" s="22"/>
      <c r="F15" s="34"/>
      <c r="G15" s="16"/>
      <c r="H15" s="26">
        <f t="shared" si="1"/>
        <v>0</v>
      </c>
    </row>
    <row r="16" spans="1:9" ht="25" customHeight="1" x14ac:dyDescent="0.45">
      <c r="A16" s="31"/>
      <c r="B16" s="13"/>
      <c r="C16" s="21"/>
      <c r="D16" s="19"/>
      <c r="E16" s="22"/>
      <c r="F16" s="34"/>
      <c r="G16" s="16"/>
      <c r="H16" s="26">
        <f t="shared" si="1"/>
        <v>0</v>
      </c>
    </row>
    <row r="17" spans="1:8" ht="25" customHeight="1" x14ac:dyDescent="0.45">
      <c r="A17" s="31"/>
      <c r="B17" s="13"/>
      <c r="C17" s="21"/>
      <c r="D17" s="19"/>
      <c r="E17" s="22"/>
      <c r="F17" s="34"/>
      <c r="G17" s="16"/>
      <c r="H17" s="26">
        <f t="shared" si="1"/>
        <v>0</v>
      </c>
    </row>
    <row r="18" spans="1:8" ht="25" customHeight="1" x14ac:dyDescent="0.45">
      <c r="A18" s="31"/>
      <c r="B18" s="13"/>
      <c r="C18" s="21"/>
      <c r="D18" s="19"/>
      <c r="E18" s="22"/>
      <c r="F18" s="34"/>
      <c r="G18" s="16"/>
      <c r="H18" s="26">
        <f t="shared" si="1"/>
        <v>0</v>
      </c>
    </row>
    <row r="19" spans="1:8" ht="25" customHeight="1" x14ac:dyDescent="0.45">
      <c r="A19" s="31"/>
      <c r="B19" s="13"/>
      <c r="C19" s="21"/>
      <c r="D19" s="19"/>
      <c r="E19" s="22"/>
      <c r="F19" s="34"/>
      <c r="G19" s="16"/>
      <c r="H19" s="26">
        <f t="shared" si="1"/>
        <v>0</v>
      </c>
    </row>
    <row r="20" spans="1:8" ht="25" customHeight="1" x14ac:dyDescent="0.45">
      <c r="A20" s="31"/>
      <c r="B20" s="13"/>
      <c r="C20" s="21"/>
      <c r="D20" s="19"/>
      <c r="E20" s="22"/>
      <c r="F20" s="34"/>
      <c r="G20" s="16"/>
      <c r="H20" s="26">
        <f t="shared" si="1"/>
        <v>0</v>
      </c>
    </row>
    <row r="21" spans="1:8" ht="25" customHeight="1" x14ac:dyDescent="0.45">
      <c r="A21" s="31"/>
      <c r="B21" s="13"/>
      <c r="C21" s="21"/>
      <c r="D21" s="19"/>
      <c r="E21" s="22"/>
      <c r="F21" s="34"/>
      <c r="G21" s="16"/>
      <c r="H21" s="26">
        <f t="shared" si="1"/>
        <v>0</v>
      </c>
    </row>
    <row r="22" spans="1:8" ht="25" customHeight="1" x14ac:dyDescent="0.45">
      <c r="A22" s="31"/>
      <c r="B22" s="13"/>
      <c r="C22" s="21"/>
      <c r="D22" s="19"/>
      <c r="E22" s="22"/>
      <c r="F22" s="34"/>
      <c r="G22" s="16"/>
      <c r="H22" s="26">
        <f t="shared" si="1"/>
        <v>0</v>
      </c>
    </row>
    <row r="23" spans="1:8" ht="25" customHeight="1" x14ac:dyDescent="0.45">
      <c r="A23" s="31"/>
      <c r="B23" s="13"/>
      <c r="C23" s="21"/>
      <c r="D23" s="19"/>
      <c r="E23" s="22"/>
      <c r="F23" s="34"/>
      <c r="G23" s="16"/>
      <c r="H23" s="26">
        <f t="shared" si="1"/>
        <v>0</v>
      </c>
    </row>
    <row r="24" spans="1:8" ht="25" customHeight="1" x14ac:dyDescent="0.45">
      <c r="A24" s="31"/>
      <c r="B24" s="13"/>
      <c r="C24" s="21"/>
      <c r="D24" s="19"/>
      <c r="E24" s="22"/>
      <c r="F24" s="34"/>
      <c r="G24" s="16"/>
      <c r="H24" s="26">
        <f t="shared" si="1"/>
        <v>0</v>
      </c>
    </row>
    <row r="25" spans="1:8" ht="25" customHeight="1" x14ac:dyDescent="0.45">
      <c r="A25" s="31"/>
      <c r="B25" s="13"/>
      <c r="C25" s="21"/>
      <c r="D25" s="19"/>
      <c r="E25" s="22"/>
      <c r="F25" s="34"/>
      <c r="G25" s="16"/>
      <c r="H25" s="26">
        <f t="shared" si="1"/>
        <v>0</v>
      </c>
    </row>
    <row r="26" spans="1:8" ht="25" customHeight="1" x14ac:dyDescent="0.45">
      <c r="A26" s="31"/>
      <c r="B26" s="13"/>
      <c r="C26" s="21"/>
      <c r="D26" s="19"/>
      <c r="E26" s="22"/>
      <c r="F26" s="34"/>
      <c r="G26" s="16"/>
      <c r="H26" s="26">
        <f t="shared" si="1"/>
        <v>0</v>
      </c>
    </row>
    <row r="27" spans="1:8" ht="25" customHeight="1" x14ac:dyDescent="0.45">
      <c r="A27" s="31"/>
      <c r="B27" s="13"/>
      <c r="C27" s="21"/>
      <c r="D27" s="19"/>
      <c r="E27" s="22"/>
      <c r="F27" s="34"/>
      <c r="G27" s="16"/>
      <c r="H27" s="26">
        <f t="shared" si="1"/>
        <v>0</v>
      </c>
    </row>
    <row r="28" spans="1:8" ht="25" customHeight="1" x14ac:dyDescent="0.45">
      <c r="A28" s="31"/>
      <c r="B28" s="13"/>
      <c r="C28" s="21"/>
      <c r="D28" s="19"/>
      <c r="E28" s="22"/>
      <c r="F28" s="34"/>
      <c r="G28" s="16"/>
      <c r="H28" s="26">
        <f t="shared" si="1"/>
        <v>0</v>
      </c>
    </row>
    <row r="29" spans="1:8" ht="25" customHeight="1" x14ac:dyDescent="0.45">
      <c r="A29" s="31"/>
      <c r="B29" s="13"/>
      <c r="C29" s="21"/>
      <c r="D29" s="19"/>
      <c r="E29" s="22"/>
      <c r="F29" s="34"/>
      <c r="G29" s="16"/>
      <c r="H29" s="26">
        <f t="shared" si="1"/>
        <v>0</v>
      </c>
    </row>
    <row r="30" spans="1:8" ht="25" customHeight="1" x14ac:dyDescent="0.45">
      <c r="A30" s="31"/>
      <c r="B30" s="13"/>
      <c r="C30" s="21"/>
      <c r="D30" s="19"/>
      <c r="E30" s="22"/>
      <c r="F30" s="34"/>
      <c r="G30" s="16"/>
      <c r="H30" s="26">
        <f t="shared" si="1"/>
        <v>0</v>
      </c>
    </row>
    <row r="31" spans="1:8" ht="25" customHeight="1" x14ac:dyDescent="0.45">
      <c r="A31" s="31"/>
      <c r="B31" s="13"/>
      <c r="C31" s="21"/>
      <c r="D31" s="19"/>
      <c r="E31" s="22"/>
      <c r="F31" s="34"/>
      <c r="G31" s="16"/>
      <c r="H31" s="26">
        <f t="shared" si="1"/>
        <v>0</v>
      </c>
    </row>
    <row r="32" spans="1:8" ht="25" customHeight="1" x14ac:dyDescent="0.45">
      <c r="A32" s="31"/>
      <c r="B32" s="13"/>
      <c r="C32" s="21"/>
      <c r="D32" s="19"/>
      <c r="E32" s="22"/>
      <c r="F32" s="34"/>
      <c r="G32" s="16"/>
      <c r="H32" s="26">
        <f t="shared" si="1"/>
        <v>0</v>
      </c>
    </row>
    <row r="33" spans="1:8" ht="25" customHeight="1" x14ac:dyDescent="0.45">
      <c r="A33" s="31"/>
      <c r="B33" s="13"/>
      <c r="C33" s="21"/>
      <c r="D33" s="19"/>
      <c r="E33" s="22"/>
      <c r="F33" s="34"/>
      <c r="G33" s="16"/>
      <c r="H33" s="26">
        <f t="shared" si="1"/>
        <v>0</v>
      </c>
    </row>
    <row r="34" spans="1:8" ht="25" customHeight="1" x14ac:dyDescent="0.45">
      <c r="A34" s="31"/>
      <c r="B34" s="13"/>
      <c r="C34" s="21"/>
      <c r="D34" s="19"/>
      <c r="E34" s="22"/>
      <c r="F34" s="34"/>
      <c r="G34" s="16"/>
      <c r="H34" s="26">
        <f t="shared" si="1"/>
        <v>0</v>
      </c>
    </row>
    <row r="35" spans="1:8" ht="25" customHeight="1" x14ac:dyDescent="0.45">
      <c r="A35" s="31"/>
      <c r="B35" s="13"/>
      <c r="C35" s="21"/>
      <c r="D35" s="19"/>
      <c r="E35" s="22"/>
      <c r="F35" s="34"/>
      <c r="G35" s="16"/>
      <c r="H35" s="26">
        <f t="shared" si="1"/>
        <v>0</v>
      </c>
    </row>
    <row r="36" spans="1:8" ht="25" customHeight="1" x14ac:dyDescent="0.45">
      <c r="A36" s="31"/>
      <c r="B36" s="13"/>
      <c r="C36" s="21"/>
      <c r="D36" s="19"/>
      <c r="E36" s="22"/>
      <c r="F36" s="34"/>
      <c r="G36" s="16"/>
      <c r="H36" s="26">
        <f t="shared" si="1"/>
        <v>0</v>
      </c>
    </row>
    <row r="37" spans="1:8" ht="25" customHeight="1" x14ac:dyDescent="0.45">
      <c r="A37" s="31"/>
      <c r="B37" s="13"/>
      <c r="C37" s="21"/>
      <c r="D37" s="19"/>
      <c r="E37" s="22"/>
      <c r="F37" s="34"/>
      <c r="G37" s="16"/>
      <c r="H37" s="26">
        <f t="shared" si="1"/>
        <v>0</v>
      </c>
    </row>
    <row r="38" spans="1:8" ht="25" customHeight="1" x14ac:dyDescent="0.45">
      <c r="A38" s="31"/>
      <c r="B38" s="13"/>
      <c r="C38" s="21"/>
      <c r="D38" s="19"/>
      <c r="E38" s="22"/>
      <c r="F38" s="34"/>
      <c r="G38" s="16"/>
      <c r="H38" s="26">
        <f t="shared" si="1"/>
        <v>0</v>
      </c>
    </row>
    <row r="39" spans="1:8" ht="25" customHeight="1" x14ac:dyDescent="0.45">
      <c r="A39" s="31"/>
      <c r="B39" s="13"/>
      <c r="C39" s="21"/>
      <c r="D39" s="19"/>
      <c r="E39" s="22"/>
      <c r="F39" s="34"/>
      <c r="G39" s="16"/>
      <c r="H39" s="26">
        <f t="shared" si="1"/>
        <v>0</v>
      </c>
    </row>
    <row r="40" spans="1:8" ht="25" customHeight="1" x14ac:dyDescent="0.45">
      <c r="A40" s="31"/>
      <c r="B40" s="13"/>
      <c r="C40" s="21"/>
      <c r="D40" s="19"/>
      <c r="E40" s="22"/>
      <c r="F40" s="34"/>
      <c r="G40" s="16"/>
      <c r="H40" s="26">
        <f t="shared" si="1"/>
        <v>0</v>
      </c>
    </row>
    <row r="41" spans="1:8" ht="25" customHeight="1" x14ac:dyDescent="0.45">
      <c r="A41" s="31"/>
      <c r="B41" s="13"/>
      <c r="C41" s="21"/>
      <c r="D41" s="19"/>
      <c r="E41" s="22"/>
      <c r="F41" s="34"/>
      <c r="G41" s="16"/>
      <c r="H41" s="26">
        <f t="shared" si="1"/>
        <v>0</v>
      </c>
    </row>
    <row r="42" spans="1:8" ht="25" customHeight="1" x14ac:dyDescent="0.45">
      <c r="A42" s="31"/>
      <c r="B42" s="13"/>
      <c r="C42" s="21"/>
      <c r="D42" s="19"/>
      <c r="E42" s="22"/>
      <c r="F42" s="34"/>
      <c r="G42" s="16"/>
      <c r="H42" s="26">
        <f t="shared" si="1"/>
        <v>0</v>
      </c>
    </row>
    <row r="43" spans="1:8" ht="25" customHeight="1" x14ac:dyDescent="0.45">
      <c r="A43" s="31"/>
      <c r="B43" s="13"/>
      <c r="C43" s="21"/>
      <c r="D43" s="19"/>
      <c r="E43" s="22"/>
      <c r="F43" s="34"/>
      <c r="G43" s="16"/>
      <c r="H43" s="26">
        <f t="shared" si="1"/>
        <v>0</v>
      </c>
    </row>
    <row r="44" spans="1:8" ht="25" customHeight="1" x14ac:dyDescent="0.45">
      <c r="A44" s="31"/>
      <c r="B44" s="13"/>
      <c r="C44" s="21"/>
      <c r="D44" s="19"/>
      <c r="E44" s="22"/>
      <c r="F44" s="34"/>
      <c r="G44" s="16"/>
      <c r="H44" s="26">
        <f t="shared" si="1"/>
        <v>0</v>
      </c>
    </row>
    <row r="45" spans="1:8" ht="25" customHeight="1" x14ac:dyDescent="0.45">
      <c r="A45" s="31"/>
      <c r="B45" s="13"/>
      <c r="C45" s="21"/>
      <c r="D45" s="19"/>
      <c r="E45" s="22"/>
      <c r="F45" s="34"/>
      <c r="G45" s="16"/>
      <c r="H45" s="26">
        <f t="shared" si="1"/>
        <v>0</v>
      </c>
    </row>
    <row r="46" spans="1:8" ht="25" customHeight="1" x14ac:dyDescent="0.45">
      <c r="A46" s="31"/>
      <c r="B46" s="13"/>
      <c r="C46" s="21"/>
      <c r="D46" s="19"/>
      <c r="E46" s="22"/>
      <c r="F46" s="34"/>
      <c r="G46" s="16"/>
      <c r="H46" s="26">
        <f t="shared" si="1"/>
        <v>0</v>
      </c>
    </row>
    <row r="47" spans="1:8" ht="25" customHeight="1" x14ac:dyDescent="0.45">
      <c r="A47" s="31"/>
      <c r="B47" s="13"/>
      <c r="C47" s="21"/>
      <c r="D47" s="19"/>
      <c r="E47" s="22"/>
      <c r="F47" s="34"/>
      <c r="G47" s="16"/>
      <c r="H47" s="26">
        <f t="shared" si="1"/>
        <v>0</v>
      </c>
    </row>
    <row r="48" spans="1:8" ht="25" customHeight="1" x14ac:dyDescent="0.45">
      <c r="A48" s="31"/>
      <c r="B48" s="13"/>
      <c r="C48" s="21"/>
      <c r="D48" s="19"/>
      <c r="E48" s="22"/>
      <c r="F48" s="34"/>
      <c r="G48" s="16"/>
      <c r="H48" s="26">
        <f t="shared" si="1"/>
        <v>0</v>
      </c>
    </row>
    <row r="49" spans="1:8" ht="25" customHeight="1" x14ac:dyDescent="0.45">
      <c r="A49" s="31"/>
      <c r="B49" s="13"/>
      <c r="C49" s="21"/>
      <c r="D49" s="19"/>
      <c r="E49" s="22"/>
      <c r="F49" s="34"/>
      <c r="G49" s="16"/>
      <c r="H49" s="26">
        <f t="shared" si="1"/>
        <v>0</v>
      </c>
    </row>
    <row r="50" spans="1:8" ht="25" customHeight="1" x14ac:dyDescent="0.45">
      <c r="A50" s="31"/>
      <c r="B50" s="13"/>
      <c r="C50" s="21"/>
      <c r="D50" s="19"/>
      <c r="E50" s="22"/>
      <c r="F50" s="34"/>
      <c r="G50" s="16"/>
      <c r="H50" s="26">
        <f t="shared" si="1"/>
        <v>0</v>
      </c>
    </row>
    <row r="51" spans="1:8" ht="25" customHeight="1" x14ac:dyDescent="0.45">
      <c r="A51" s="31"/>
      <c r="B51" s="13"/>
      <c r="C51" s="21"/>
      <c r="D51" s="19"/>
      <c r="E51" s="22"/>
      <c r="F51" s="34"/>
      <c r="G51" s="16"/>
      <c r="H51" s="26">
        <f t="shared" si="1"/>
        <v>0</v>
      </c>
    </row>
    <row r="52" spans="1:8" ht="25" customHeight="1" x14ac:dyDescent="0.45">
      <c r="A52" s="31"/>
      <c r="B52" s="13"/>
      <c r="C52" s="21"/>
      <c r="D52" s="19"/>
      <c r="E52" s="22"/>
      <c r="F52" s="34"/>
      <c r="G52" s="16"/>
      <c r="H52" s="26">
        <f t="shared" si="1"/>
        <v>0</v>
      </c>
    </row>
    <row r="53" spans="1:8" ht="25" customHeight="1" x14ac:dyDescent="0.45">
      <c r="A53" s="31"/>
      <c r="B53" s="13"/>
      <c r="C53" s="21"/>
      <c r="D53" s="19"/>
      <c r="E53" s="22"/>
      <c r="F53" s="34"/>
      <c r="G53" s="16"/>
      <c r="H53" s="26">
        <f t="shared" si="1"/>
        <v>0</v>
      </c>
    </row>
    <row r="54" spans="1:8" ht="25" customHeight="1" x14ac:dyDescent="0.45">
      <c r="A54" s="31"/>
      <c r="B54" s="13"/>
      <c r="C54" s="21"/>
      <c r="D54" s="19"/>
      <c r="E54" s="22"/>
      <c r="F54" s="34"/>
      <c r="G54" s="16"/>
      <c r="H54" s="26">
        <f t="shared" si="1"/>
        <v>0</v>
      </c>
    </row>
    <row r="55" spans="1:8" ht="25" customHeight="1" x14ac:dyDescent="0.45">
      <c r="A55" s="31"/>
      <c r="B55" s="13"/>
      <c r="C55" s="21"/>
      <c r="D55" s="19"/>
      <c r="E55" s="22"/>
      <c r="F55" s="34"/>
      <c r="G55" s="16"/>
      <c r="H55" s="26">
        <f t="shared" si="1"/>
        <v>0</v>
      </c>
    </row>
    <row r="56" spans="1:8" ht="25" customHeight="1" x14ac:dyDescent="0.45">
      <c r="A56" s="31"/>
      <c r="B56" s="13"/>
      <c r="C56" s="21"/>
      <c r="D56" s="19"/>
      <c r="E56" s="22"/>
      <c r="F56" s="34"/>
      <c r="G56" s="16"/>
      <c r="H56" s="26">
        <f t="shared" si="1"/>
        <v>0</v>
      </c>
    </row>
    <row r="57" spans="1:8" ht="25" customHeight="1" x14ac:dyDescent="0.45">
      <c r="A57" s="31"/>
      <c r="B57" s="13"/>
      <c r="C57" s="21"/>
      <c r="D57" s="19"/>
      <c r="E57" s="22"/>
      <c r="F57" s="34"/>
      <c r="G57" s="16"/>
      <c r="H57" s="26">
        <f t="shared" si="1"/>
        <v>0</v>
      </c>
    </row>
    <row r="58" spans="1:8" ht="25" customHeight="1" x14ac:dyDescent="0.45">
      <c r="A58" s="31"/>
      <c r="B58" s="13"/>
      <c r="C58" s="21"/>
      <c r="D58" s="19"/>
      <c r="E58" s="22"/>
      <c r="F58" s="34"/>
      <c r="G58" s="16"/>
      <c r="H58" s="26">
        <f t="shared" si="1"/>
        <v>0</v>
      </c>
    </row>
    <row r="59" spans="1:8" ht="25" customHeight="1" x14ac:dyDescent="0.45">
      <c r="A59" s="31"/>
      <c r="B59" s="13"/>
      <c r="C59" s="21"/>
      <c r="D59" s="19"/>
      <c r="E59" s="22"/>
      <c r="F59" s="34"/>
      <c r="G59" s="16"/>
      <c r="H59" s="26">
        <f t="shared" si="1"/>
        <v>0</v>
      </c>
    </row>
    <row r="60" spans="1:8" ht="25" customHeight="1" x14ac:dyDescent="0.45">
      <c r="A60" s="31"/>
      <c r="B60" s="13"/>
      <c r="C60" s="21"/>
      <c r="D60" s="19"/>
      <c r="E60" s="22"/>
      <c r="F60" s="34"/>
      <c r="G60" s="16"/>
      <c r="H60" s="26">
        <f t="shared" si="1"/>
        <v>0</v>
      </c>
    </row>
    <row r="61" spans="1:8" ht="25" customHeight="1" x14ac:dyDescent="0.45">
      <c r="A61" s="31"/>
      <c r="B61" s="13"/>
      <c r="C61" s="21"/>
      <c r="D61" s="19"/>
      <c r="E61" s="22"/>
      <c r="F61" s="34"/>
      <c r="G61" s="16"/>
      <c r="H61" s="26">
        <f t="shared" si="1"/>
        <v>0</v>
      </c>
    </row>
    <row r="62" spans="1:8" ht="25" customHeight="1" x14ac:dyDescent="0.45">
      <c r="A62" s="31"/>
      <c r="B62" s="13"/>
      <c r="C62" s="21"/>
      <c r="D62" s="19"/>
      <c r="E62" s="22"/>
      <c r="F62" s="34"/>
      <c r="G62" s="16"/>
      <c r="H62" s="26">
        <f t="shared" si="1"/>
        <v>0</v>
      </c>
    </row>
    <row r="63" spans="1:8" ht="25" customHeight="1" x14ac:dyDescent="0.45">
      <c r="A63" s="31"/>
      <c r="B63" s="13"/>
      <c r="C63" s="21"/>
      <c r="D63" s="19"/>
      <c r="E63" s="22"/>
      <c r="F63" s="34"/>
      <c r="G63" s="16"/>
      <c r="H63" s="26">
        <f t="shared" si="1"/>
        <v>0</v>
      </c>
    </row>
    <row r="64" spans="1:8" ht="25" customHeight="1" x14ac:dyDescent="0.45">
      <c r="A64" s="31"/>
      <c r="B64" s="13"/>
      <c r="C64" s="21"/>
      <c r="D64" s="19"/>
      <c r="E64" s="22"/>
      <c r="F64" s="34"/>
      <c r="G64" s="16"/>
      <c r="H64" s="26">
        <f t="shared" si="1"/>
        <v>0</v>
      </c>
    </row>
    <row r="65" spans="1:8" ht="25" customHeight="1" x14ac:dyDescent="0.45">
      <c r="A65" s="31"/>
      <c r="B65" s="13"/>
      <c r="C65" s="21"/>
      <c r="D65" s="19"/>
      <c r="E65" s="22"/>
      <c r="F65" s="34"/>
      <c r="G65" s="16"/>
      <c r="H65" s="26">
        <f t="shared" si="1"/>
        <v>0</v>
      </c>
    </row>
    <row r="66" spans="1:8" ht="25" customHeight="1" x14ac:dyDescent="0.45">
      <c r="A66" s="31"/>
      <c r="B66" s="13"/>
      <c r="C66" s="21"/>
      <c r="D66" s="19"/>
      <c r="E66" s="22"/>
      <c r="F66" s="34"/>
      <c r="G66" s="16"/>
      <c r="H66" s="26">
        <f t="shared" si="1"/>
        <v>0</v>
      </c>
    </row>
    <row r="67" spans="1:8" ht="25" customHeight="1" x14ac:dyDescent="0.45">
      <c r="A67" s="31"/>
      <c r="B67" s="13"/>
      <c r="C67" s="21"/>
      <c r="D67" s="19"/>
      <c r="E67" s="22"/>
      <c r="F67" s="34"/>
      <c r="G67" s="16"/>
      <c r="H67" s="26">
        <f t="shared" si="1"/>
        <v>0</v>
      </c>
    </row>
    <row r="68" spans="1:8" ht="25" customHeight="1" x14ac:dyDescent="0.45">
      <c r="A68" s="31"/>
      <c r="B68" s="13"/>
      <c r="C68" s="21"/>
      <c r="D68" s="19"/>
      <c r="E68" s="22"/>
      <c r="F68" s="34"/>
      <c r="G68" s="16"/>
      <c r="H68" s="26">
        <f t="shared" si="1"/>
        <v>0</v>
      </c>
    </row>
    <row r="69" spans="1:8" ht="25" customHeight="1" x14ac:dyDescent="0.45">
      <c r="A69" s="31"/>
      <c r="B69" s="13"/>
      <c r="C69" s="21"/>
      <c r="D69" s="19"/>
      <c r="E69" s="22"/>
      <c r="F69" s="34"/>
      <c r="G69" s="16"/>
      <c r="H69" s="26">
        <f t="shared" si="1"/>
        <v>0</v>
      </c>
    </row>
    <row r="70" spans="1:8" ht="25" customHeight="1" x14ac:dyDescent="0.45">
      <c r="A70" s="31"/>
      <c r="B70" s="13"/>
      <c r="C70" s="21"/>
      <c r="D70" s="19"/>
      <c r="E70" s="22"/>
      <c r="F70" s="34"/>
      <c r="G70" s="16"/>
      <c r="H70" s="26">
        <f t="shared" si="1"/>
        <v>0</v>
      </c>
    </row>
    <row r="71" spans="1:8" ht="25" customHeight="1" x14ac:dyDescent="0.45">
      <c r="A71" s="31"/>
      <c r="B71" s="13"/>
      <c r="C71" s="21"/>
      <c r="D71" s="19"/>
      <c r="E71" s="22"/>
      <c r="F71" s="34"/>
      <c r="G71" s="16"/>
      <c r="H71" s="26">
        <f t="shared" si="1"/>
        <v>0</v>
      </c>
    </row>
    <row r="72" spans="1:8" ht="25" customHeight="1" x14ac:dyDescent="0.45">
      <c r="A72" s="31"/>
      <c r="B72" s="13"/>
      <c r="C72" s="21"/>
      <c r="D72" s="19"/>
      <c r="E72" s="22"/>
      <c r="F72" s="34"/>
      <c r="G72" s="16"/>
      <c r="H72" s="26">
        <f t="shared" si="1"/>
        <v>0</v>
      </c>
    </row>
    <row r="73" spans="1:8" ht="25" customHeight="1" x14ac:dyDescent="0.45">
      <c r="A73" s="31"/>
      <c r="B73" s="13"/>
      <c r="C73" s="21"/>
      <c r="D73" s="19"/>
      <c r="E73" s="22"/>
      <c r="F73" s="34"/>
      <c r="G73" s="16"/>
      <c r="H73" s="26">
        <f t="shared" ref="H73:H79" si="2">(E73-D73)*24</f>
        <v>0</v>
      </c>
    </row>
    <row r="74" spans="1:8" ht="25" customHeight="1" x14ac:dyDescent="0.45">
      <c r="A74" s="31"/>
      <c r="B74" s="13"/>
      <c r="C74" s="21"/>
      <c r="D74" s="19"/>
      <c r="E74" s="22"/>
      <c r="F74" s="34"/>
      <c r="G74" s="16"/>
      <c r="H74" s="26">
        <f t="shared" si="2"/>
        <v>0</v>
      </c>
    </row>
    <row r="75" spans="1:8" ht="25" customHeight="1" x14ac:dyDescent="0.45">
      <c r="A75" s="31"/>
      <c r="B75" s="13"/>
      <c r="C75" s="21"/>
      <c r="D75" s="19"/>
      <c r="E75" s="22"/>
      <c r="F75" s="34"/>
      <c r="G75" s="16"/>
      <c r="H75" s="26">
        <f t="shared" si="2"/>
        <v>0</v>
      </c>
    </row>
    <row r="76" spans="1:8" ht="25" customHeight="1" x14ac:dyDescent="0.45">
      <c r="A76" s="31"/>
      <c r="B76" s="13"/>
      <c r="C76" s="21"/>
      <c r="D76" s="19"/>
      <c r="E76" s="22"/>
      <c r="F76" s="34"/>
      <c r="G76" s="16"/>
      <c r="H76" s="26">
        <f t="shared" si="2"/>
        <v>0</v>
      </c>
    </row>
    <row r="77" spans="1:8" ht="25" customHeight="1" x14ac:dyDescent="0.45">
      <c r="A77" s="31"/>
      <c r="B77" s="13"/>
      <c r="C77" s="21"/>
      <c r="D77" s="19"/>
      <c r="E77" s="22"/>
      <c r="F77" s="34"/>
      <c r="G77" s="16"/>
      <c r="H77" s="26">
        <f t="shared" si="2"/>
        <v>0</v>
      </c>
    </row>
    <row r="78" spans="1:8" ht="25" customHeight="1" x14ac:dyDescent="0.45">
      <c r="A78" s="31"/>
      <c r="B78" s="13"/>
      <c r="C78" s="21"/>
      <c r="D78" s="19"/>
      <c r="E78" s="22"/>
      <c r="F78" s="34"/>
      <c r="G78" s="16"/>
      <c r="H78" s="26">
        <f t="shared" si="2"/>
        <v>0</v>
      </c>
    </row>
    <row r="79" spans="1:8" ht="25" customHeight="1" thickBot="1" x14ac:dyDescent="0.5">
      <c r="A79" s="32"/>
      <c r="B79" s="14"/>
      <c r="C79" s="23"/>
      <c r="D79" s="24"/>
      <c r="E79" s="25"/>
      <c r="F79" s="35"/>
      <c r="G79" s="17"/>
      <c r="H79" s="27">
        <f t="shared" si="2"/>
        <v>0</v>
      </c>
    </row>
    <row r="80" spans="1:8" ht="25" customHeight="1" x14ac:dyDescent="0.45">
      <c r="F80" s="29"/>
      <c r="H80" s="28">
        <f>SUM(H7:H79)</f>
        <v>0</v>
      </c>
    </row>
    <row r="81" ht="25" customHeight="1" x14ac:dyDescent="0.35"/>
    <row r="82" ht="25" customHeight="1" x14ac:dyDescent="0.35"/>
    <row r="83" ht="25" customHeight="1" x14ac:dyDescent="0.35"/>
    <row r="84" ht="25" customHeight="1" x14ac:dyDescent="0.35"/>
    <row r="85" ht="25" customHeight="1" x14ac:dyDescent="0.35"/>
    <row r="86" ht="25" customHeight="1" x14ac:dyDescent="0.35"/>
    <row r="87" ht="25" customHeight="1" x14ac:dyDescent="0.35"/>
    <row r="88" ht="25" customHeight="1" x14ac:dyDescent="0.35"/>
    <row r="89" ht="25" customHeight="1" x14ac:dyDescent="0.35"/>
    <row r="90" ht="25" customHeight="1" x14ac:dyDescent="0.35"/>
    <row r="91" ht="25" customHeight="1" x14ac:dyDescent="0.35"/>
    <row r="92" ht="25" customHeight="1" x14ac:dyDescent="0.35"/>
    <row r="93" ht="25" customHeight="1" x14ac:dyDescent="0.35"/>
    <row r="94" ht="25" customHeight="1" x14ac:dyDescent="0.35"/>
    <row r="95" ht="25" customHeight="1" x14ac:dyDescent="0.35"/>
    <row r="96" ht="25" customHeight="1" x14ac:dyDescent="0.35"/>
    <row r="97" ht="25" customHeight="1" x14ac:dyDescent="0.35"/>
    <row r="98" ht="25" customHeight="1" x14ac:dyDescent="0.35"/>
    <row r="99" ht="25" customHeight="1" x14ac:dyDescent="0.35"/>
    <row r="100" ht="25" customHeight="1" x14ac:dyDescent="0.35"/>
    <row r="101" ht="25" customHeight="1" x14ac:dyDescent="0.35"/>
    <row r="102" ht="25" customHeight="1" x14ac:dyDescent="0.35"/>
    <row r="103" ht="25" customHeight="1" x14ac:dyDescent="0.35"/>
    <row r="104" ht="25" customHeight="1" x14ac:dyDescent="0.35"/>
    <row r="105" ht="25" customHeight="1" x14ac:dyDescent="0.35"/>
    <row r="106" ht="25" customHeight="1" x14ac:dyDescent="0.35"/>
    <row r="107" ht="25" customHeight="1" x14ac:dyDescent="0.35"/>
    <row r="108" ht="25" customHeight="1" x14ac:dyDescent="0.35"/>
    <row r="109" ht="25" customHeight="1" x14ac:dyDescent="0.35"/>
    <row r="110" ht="25" customHeight="1" x14ac:dyDescent="0.35"/>
    <row r="111" ht="25" customHeight="1" x14ac:dyDescent="0.35"/>
    <row r="112" ht="25" customHeight="1" x14ac:dyDescent="0.35"/>
    <row r="113" ht="25" customHeight="1" x14ac:dyDescent="0.35"/>
    <row r="114" ht="25" customHeight="1" x14ac:dyDescent="0.35"/>
    <row r="115" ht="25" customHeight="1" x14ac:dyDescent="0.35"/>
    <row r="116" ht="25" customHeight="1" x14ac:dyDescent="0.35"/>
    <row r="117" ht="25" customHeight="1" x14ac:dyDescent="0.35"/>
    <row r="118" ht="25" customHeight="1" x14ac:dyDescent="0.35"/>
    <row r="119" ht="25" customHeight="1" x14ac:dyDescent="0.35"/>
    <row r="120" ht="25" customHeight="1" x14ac:dyDescent="0.35"/>
    <row r="121" ht="25" customHeight="1" x14ac:dyDescent="0.35"/>
    <row r="122" ht="25" customHeight="1" x14ac:dyDescent="0.35"/>
    <row r="123" ht="25" customHeight="1" x14ac:dyDescent="0.35"/>
    <row r="124" ht="25" customHeight="1" x14ac:dyDescent="0.35"/>
    <row r="125" ht="25" customHeight="1" x14ac:dyDescent="0.35"/>
    <row r="126" ht="25" customHeight="1" x14ac:dyDescent="0.35"/>
    <row r="127" ht="25" customHeight="1" x14ac:dyDescent="0.35"/>
    <row r="128" ht="25" customHeight="1" x14ac:dyDescent="0.35"/>
    <row r="129" ht="25" customHeight="1" x14ac:dyDescent="0.35"/>
    <row r="130" ht="25" customHeight="1" x14ac:dyDescent="0.35"/>
    <row r="131" ht="25" customHeight="1" x14ac:dyDescent="0.35"/>
    <row r="132" ht="25" customHeight="1" x14ac:dyDescent="0.35"/>
    <row r="133" ht="25" customHeight="1" x14ac:dyDescent="0.35"/>
    <row r="134" ht="25" customHeight="1" x14ac:dyDescent="0.35"/>
    <row r="135" ht="25" customHeight="1" x14ac:dyDescent="0.35"/>
    <row r="136" ht="25" customHeight="1" x14ac:dyDescent="0.35"/>
    <row r="137" ht="25" customHeight="1" x14ac:dyDescent="0.35"/>
    <row r="138" ht="25" customHeight="1" x14ac:dyDescent="0.35"/>
    <row r="139" ht="25" customHeight="1" x14ac:dyDescent="0.35"/>
    <row r="140" ht="25" customHeight="1" x14ac:dyDescent="0.35"/>
    <row r="141" ht="25" customHeight="1" x14ac:dyDescent="0.35"/>
    <row r="142" ht="25" customHeight="1" x14ac:dyDescent="0.35"/>
    <row r="143" ht="25" customHeight="1" x14ac:dyDescent="0.35"/>
    <row r="144" ht="25" customHeight="1" x14ac:dyDescent="0.35"/>
    <row r="145" ht="25" customHeight="1" x14ac:dyDescent="0.35"/>
    <row r="146" ht="25" customHeight="1" x14ac:dyDescent="0.35"/>
    <row r="147" ht="25" customHeight="1" x14ac:dyDescent="0.35"/>
    <row r="148" ht="25" customHeight="1" x14ac:dyDescent="0.35"/>
    <row r="149" ht="25" customHeight="1" x14ac:dyDescent="0.35"/>
    <row r="150" ht="25" customHeight="1" x14ac:dyDescent="0.35"/>
    <row r="151" ht="25" customHeight="1" x14ac:dyDescent="0.35"/>
    <row r="152" ht="25" customHeight="1" x14ac:dyDescent="0.35"/>
    <row r="153" ht="25" customHeight="1" x14ac:dyDescent="0.35"/>
    <row r="154" ht="25" customHeight="1" x14ac:dyDescent="0.35"/>
    <row r="155" ht="25" customHeight="1" x14ac:dyDescent="0.35"/>
    <row r="156" ht="25" customHeight="1" x14ac:dyDescent="0.35"/>
    <row r="157" ht="25" customHeight="1" x14ac:dyDescent="0.35"/>
    <row r="158" ht="25" customHeight="1" x14ac:dyDescent="0.35"/>
    <row r="159" ht="25" customHeight="1" x14ac:dyDescent="0.35"/>
    <row r="160" ht="25" customHeight="1" x14ac:dyDescent="0.35"/>
    <row r="161" ht="25" customHeight="1" x14ac:dyDescent="0.35"/>
    <row r="162" ht="25" customHeight="1" x14ac:dyDescent="0.35"/>
    <row r="163" ht="25" customHeight="1" x14ac:dyDescent="0.35"/>
    <row r="164" ht="25" customHeight="1" x14ac:dyDescent="0.35"/>
    <row r="165" ht="25" customHeight="1" x14ac:dyDescent="0.35"/>
    <row r="166" ht="25" customHeight="1" x14ac:dyDescent="0.35"/>
    <row r="167" ht="25" customHeight="1" x14ac:dyDescent="0.35"/>
    <row r="168" ht="25" customHeight="1" x14ac:dyDescent="0.35"/>
    <row r="169" ht="25" customHeight="1" x14ac:dyDescent="0.35"/>
    <row r="170" ht="25" customHeight="1" x14ac:dyDescent="0.35"/>
    <row r="171" ht="25" customHeight="1" x14ac:dyDescent="0.35"/>
    <row r="172" ht="25" customHeight="1" x14ac:dyDescent="0.35"/>
    <row r="173" ht="25" customHeight="1" x14ac:dyDescent="0.35"/>
    <row r="174" ht="25" customHeight="1" x14ac:dyDescent="0.35"/>
    <row r="175" ht="25" customHeight="1" x14ac:dyDescent="0.35"/>
    <row r="176" ht="25" customHeight="1" x14ac:dyDescent="0.35"/>
    <row r="177" ht="25" customHeight="1" x14ac:dyDescent="0.35"/>
    <row r="178" ht="25" customHeight="1" x14ac:dyDescent="0.35"/>
    <row r="179" ht="25" customHeight="1" x14ac:dyDescent="0.35"/>
    <row r="180" ht="25" customHeight="1" x14ac:dyDescent="0.35"/>
    <row r="181" ht="25" customHeight="1" x14ac:dyDescent="0.35"/>
    <row r="182" ht="25" customHeight="1" x14ac:dyDescent="0.35"/>
    <row r="183" ht="25" customHeight="1" x14ac:dyDescent="0.35"/>
    <row r="184" ht="25" customHeight="1" x14ac:dyDescent="0.35"/>
    <row r="185" ht="25" customHeight="1" x14ac:dyDescent="0.35"/>
    <row r="186" ht="25" customHeight="1" x14ac:dyDescent="0.35"/>
    <row r="187" ht="25" customHeight="1" x14ac:dyDescent="0.35"/>
    <row r="188" ht="25" customHeight="1" x14ac:dyDescent="0.35"/>
    <row r="189" ht="25" customHeight="1" x14ac:dyDescent="0.35"/>
    <row r="190" ht="25" customHeight="1" x14ac:dyDescent="0.35"/>
    <row r="191" ht="25" customHeight="1" x14ac:dyDescent="0.35"/>
    <row r="192" ht="25" customHeight="1" x14ac:dyDescent="0.35"/>
    <row r="193" ht="25" customHeight="1" x14ac:dyDescent="0.35"/>
    <row r="194" ht="25" customHeight="1" x14ac:dyDescent="0.35"/>
    <row r="195" ht="25" customHeight="1" x14ac:dyDescent="0.35"/>
    <row r="196" ht="25" customHeight="1" x14ac:dyDescent="0.35"/>
    <row r="197" ht="25" customHeight="1" x14ac:dyDescent="0.35"/>
    <row r="198" ht="25" customHeight="1" x14ac:dyDescent="0.35"/>
    <row r="199" ht="25" customHeight="1" x14ac:dyDescent="0.35"/>
    <row r="200" ht="25" customHeight="1" x14ac:dyDescent="0.35"/>
    <row r="201" ht="25" customHeight="1" x14ac:dyDescent="0.35"/>
    <row r="202" ht="25" customHeight="1" x14ac:dyDescent="0.35"/>
    <row r="203" ht="25" customHeight="1" x14ac:dyDescent="0.35"/>
    <row r="204" ht="25" customHeight="1" x14ac:dyDescent="0.35"/>
    <row r="205" ht="25" customHeight="1" x14ac:dyDescent="0.35"/>
    <row r="206" ht="25" customHeight="1" x14ac:dyDescent="0.35"/>
    <row r="207" ht="25" customHeight="1" x14ac:dyDescent="0.35"/>
    <row r="208" ht="25" customHeight="1" x14ac:dyDescent="0.35"/>
    <row r="209" ht="25" customHeight="1" x14ac:dyDescent="0.35"/>
    <row r="210" ht="25" customHeight="1" x14ac:dyDescent="0.35"/>
    <row r="211" ht="25" customHeight="1" x14ac:dyDescent="0.35"/>
    <row r="212" ht="25" customHeight="1" x14ac:dyDescent="0.35"/>
    <row r="213" ht="25" customHeight="1" x14ac:dyDescent="0.35"/>
    <row r="214" ht="25" customHeight="1" x14ac:dyDescent="0.35"/>
    <row r="215" ht="25" customHeight="1" x14ac:dyDescent="0.35"/>
    <row r="216" ht="25" customHeight="1" x14ac:dyDescent="0.35"/>
    <row r="217" ht="25" customHeight="1" x14ac:dyDescent="0.35"/>
    <row r="218" ht="25" customHeight="1" x14ac:dyDescent="0.35"/>
    <row r="219" ht="25" customHeight="1" x14ac:dyDescent="0.35"/>
    <row r="220" ht="25" customHeight="1" x14ac:dyDescent="0.35"/>
    <row r="221" ht="25" customHeight="1" x14ac:dyDescent="0.35"/>
    <row r="222" ht="25" customHeight="1" x14ac:dyDescent="0.35"/>
    <row r="223" ht="25" customHeight="1" x14ac:dyDescent="0.35"/>
    <row r="224" ht="25" customHeight="1" x14ac:dyDescent="0.35"/>
    <row r="225" ht="25" customHeight="1" x14ac:dyDescent="0.35"/>
    <row r="226" ht="25" customHeight="1" x14ac:dyDescent="0.35"/>
    <row r="227" ht="25" customHeight="1" x14ac:dyDescent="0.35"/>
    <row r="228" ht="25" customHeight="1" x14ac:dyDescent="0.35"/>
    <row r="229" ht="25" customHeight="1" x14ac:dyDescent="0.35"/>
    <row r="230" ht="25" customHeight="1" x14ac:dyDescent="0.35"/>
    <row r="231" ht="25" customHeight="1" x14ac:dyDescent="0.35"/>
    <row r="232" ht="25" customHeight="1" x14ac:dyDescent="0.35"/>
    <row r="233" ht="25" customHeight="1" x14ac:dyDescent="0.35"/>
    <row r="234" ht="25" customHeight="1" x14ac:dyDescent="0.35"/>
    <row r="235" ht="25" customHeight="1" x14ac:dyDescent="0.35"/>
    <row r="236" ht="25" customHeight="1" x14ac:dyDescent="0.35"/>
    <row r="237" ht="25" customHeight="1" x14ac:dyDescent="0.35"/>
    <row r="238" ht="25" customHeight="1" x14ac:dyDescent="0.35"/>
    <row r="239" ht="25" customHeight="1" x14ac:dyDescent="0.35"/>
    <row r="240" ht="25" customHeight="1" x14ac:dyDescent="0.35"/>
    <row r="241" ht="25" customHeight="1" x14ac:dyDescent="0.35"/>
    <row r="242" ht="25" customHeight="1" x14ac:dyDescent="0.35"/>
    <row r="243" ht="25" customHeight="1" x14ac:dyDescent="0.35"/>
    <row r="244" ht="25" customHeight="1" x14ac:dyDescent="0.35"/>
    <row r="245" ht="25" customHeight="1" x14ac:dyDescent="0.35"/>
    <row r="246" ht="25" customHeight="1" x14ac:dyDescent="0.35"/>
    <row r="247" ht="25" customHeight="1" x14ac:dyDescent="0.35"/>
    <row r="248" ht="25" customHeight="1" x14ac:dyDescent="0.35"/>
    <row r="249" ht="25" customHeight="1" x14ac:dyDescent="0.35"/>
    <row r="250" ht="25" customHeight="1" x14ac:dyDescent="0.35"/>
    <row r="251" ht="25" customHeight="1" x14ac:dyDescent="0.35"/>
    <row r="252" ht="25" customHeight="1" x14ac:dyDescent="0.35"/>
    <row r="253" ht="25" customHeight="1" x14ac:dyDescent="0.35"/>
    <row r="254" ht="25" customHeight="1" x14ac:dyDescent="0.35"/>
    <row r="255" ht="25" customHeight="1" x14ac:dyDescent="0.35"/>
    <row r="256" ht="25" customHeight="1" x14ac:dyDescent="0.35"/>
    <row r="257" ht="25" customHeight="1" x14ac:dyDescent="0.35"/>
    <row r="258" ht="25" customHeight="1" x14ac:dyDescent="0.35"/>
    <row r="259" ht="25" customHeight="1" x14ac:dyDescent="0.35"/>
    <row r="260" ht="25" customHeight="1" x14ac:dyDescent="0.35"/>
    <row r="261" ht="25" customHeight="1" x14ac:dyDescent="0.35"/>
    <row r="262" ht="25" customHeight="1" x14ac:dyDescent="0.35"/>
    <row r="263" ht="25" customHeight="1" x14ac:dyDescent="0.35"/>
    <row r="264" ht="25" customHeight="1" x14ac:dyDescent="0.35"/>
    <row r="265" ht="25" customHeight="1" x14ac:dyDescent="0.35"/>
    <row r="266" ht="25" customHeight="1" x14ac:dyDescent="0.35"/>
    <row r="267" ht="25" customHeight="1" x14ac:dyDescent="0.35"/>
    <row r="268" ht="25" customHeight="1" x14ac:dyDescent="0.35"/>
    <row r="269" ht="25" customHeight="1" x14ac:dyDescent="0.35"/>
    <row r="270" ht="25" customHeight="1" x14ac:dyDescent="0.35"/>
    <row r="271" ht="25" customHeight="1" x14ac:dyDescent="0.35"/>
    <row r="272" ht="25" customHeight="1" x14ac:dyDescent="0.35"/>
    <row r="273" ht="25" customHeight="1" x14ac:dyDescent="0.35"/>
    <row r="274" ht="25" customHeight="1" x14ac:dyDescent="0.35"/>
    <row r="275" ht="25" customHeight="1" x14ac:dyDescent="0.35"/>
    <row r="276" ht="25" customHeight="1" x14ac:dyDescent="0.35"/>
    <row r="277" ht="25" customHeight="1" x14ac:dyDescent="0.35"/>
    <row r="278" ht="25" customHeight="1" x14ac:dyDescent="0.35"/>
    <row r="279" ht="25" customHeight="1" x14ac:dyDescent="0.35"/>
    <row r="280" ht="25" customHeight="1" x14ac:dyDescent="0.35"/>
    <row r="281" ht="25" customHeight="1" x14ac:dyDescent="0.35"/>
    <row r="282" ht="25" customHeight="1" x14ac:dyDescent="0.35"/>
    <row r="283" ht="25" customHeight="1" x14ac:dyDescent="0.35"/>
    <row r="284" ht="25" customHeight="1" x14ac:dyDescent="0.35"/>
    <row r="285" ht="25" customHeight="1" x14ac:dyDescent="0.35"/>
    <row r="286" ht="25" customHeight="1" x14ac:dyDescent="0.35"/>
    <row r="287" ht="25" customHeight="1" x14ac:dyDescent="0.35"/>
    <row r="288" ht="25" customHeight="1" x14ac:dyDescent="0.35"/>
    <row r="289" ht="25" customHeight="1" x14ac:dyDescent="0.35"/>
    <row r="290" ht="25" customHeight="1" x14ac:dyDescent="0.35"/>
    <row r="291" ht="25" customHeight="1" x14ac:dyDescent="0.35"/>
    <row r="292" ht="25" customHeight="1" x14ac:dyDescent="0.35"/>
    <row r="293" ht="25" customHeight="1" x14ac:dyDescent="0.35"/>
    <row r="294" ht="25" customHeight="1" x14ac:dyDescent="0.35"/>
    <row r="295" ht="25" customHeight="1" x14ac:dyDescent="0.35"/>
    <row r="296" ht="25" customHeight="1" x14ac:dyDescent="0.35"/>
    <row r="297" ht="25" customHeight="1" x14ac:dyDescent="0.35"/>
    <row r="298" ht="25" customHeight="1" x14ac:dyDescent="0.35"/>
    <row r="299" ht="25" customHeight="1" x14ac:dyDescent="0.35"/>
    <row r="300" ht="25" customHeight="1" x14ac:dyDescent="0.35"/>
    <row r="301" ht="25" customHeight="1" x14ac:dyDescent="0.35"/>
    <row r="302" ht="25" customHeight="1" x14ac:dyDescent="0.35"/>
    <row r="303" ht="25" customHeight="1" x14ac:dyDescent="0.35"/>
    <row r="304" ht="25" customHeight="1" x14ac:dyDescent="0.35"/>
    <row r="305" ht="25" customHeight="1" x14ac:dyDescent="0.35"/>
    <row r="306" ht="25" customHeight="1" x14ac:dyDescent="0.35"/>
    <row r="307" ht="25" customHeight="1" x14ac:dyDescent="0.35"/>
    <row r="308" ht="25" customHeight="1" x14ac:dyDescent="0.35"/>
    <row r="309" ht="25" customHeight="1" x14ac:dyDescent="0.35"/>
    <row r="310" ht="25" customHeight="1" x14ac:dyDescent="0.35"/>
    <row r="311" ht="25" customHeight="1" x14ac:dyDescent="0.35"/>
    <row r="312" ht="25" customHeight="1" x14ac:dyDescent="0.35"/>
    <row r="313" ht="25" customHeight="1" x14ac:dyDescent="0.35"/>
    <row r="314" ht="25" customHeight="1" x14ac:dyDescent="0.35"/>
    <row r="315" ht="25" customHeight="1" x14ac:dyDescent="0.35"/>
    <row r="316" ht="25" customHeight="1" x14ac:dyDescent="0.35"/>
    <row r="317" ht="25" customHeight="1" x14ac:dyDescent="0.35"/>
    <row r="318" ht="25" customHeight="1" x14ac:dyDescent="0.35"/>
    <row r="319" ht="25" customHeight="1" x14ac:dyDescent="0.35"/>
    <row r="320" ht="25" customHeight="1" x14ac:dyDescent="0.35"/>
    <row r="321" ht="25" customHeight="1" x14ac:dyDescent="0.35"/>
    <row r="322" ht="25" customHeight="1" x14ac:dyDescent="0.35"/>
    <row r="323" ht="25" customHeight="1" x14ac:dyDescent="0.35"/>
    <row r="324" ht="25" customHeight="1" x14ac:dyDescent="0.35"/>
    <row r="325" ht="25" customHeight="1" x14ac:dyDescent="0.35"/>
    <row r="326" ht="25" customHeight="1" x14ac:dyDescent="0.35"/>
    <row r="327" ht="25" customHeight="1" x14ac:dyDescent="0.35"/>
    <row r="328" ht="25" customHeight="1" x14ac:dyDescent="0.35"/>
    <row r="329" ht="25" customHeight="1" x14ac:dyDescent="0.35"/>
    <row r="330" ht="25" customHeight="1" x14ac:dyDescent="0.35"/>
    <row r="331" ht="25" customHeight="1" x14ac:dyDescent="0.35"/>
    <row r="332" ht="25" customHeight="1" x14ac:dyDescent="0.35"/>
    <row r="333" ht="25" customHeight="1" x14ac:dyDescent="0.35"/>
    <row r="334" ht="25" customHeight="1" x14ac:dyDescent="0.35"/>
    <row r="335" ht="25" customHeight="1" x14ac:dyDescent="0.35"/>
    <row r="336" ht="25" customHeight="1" x14ac:dyDescent="0.35"/>
    <row r="337" ht="25" customHeight="1" x14ac:dyDescent="0.35"/>
    <row r="338" ht="25" customHeight="1" x14ac:dyDescent="0.35"/>
    <row r="339" ht="25" customHeight="1" x14ac:dyDescent="0.35"/>
    <row r="340" ht="25" customHeight="1" x14ac:dyDescent="0.35"/>
    <row r="341" ht="25" customHeight="1" x14ac:dyDescent="0.35"/>
    <row r="342" ht="25" customHeight="1" x14ac:dyDescent="0.35"/>
    <row r="343" ht="25" customHeight="1" x14ac:dyDescent="0.35"/>
    <row r="344" ht="25" customHeight="1" x14ac:dyDescent="0.35"/>
    <row r="345" ht="25" customHeight="1" x14ac:dyDescent="0.35"/>
    <row r="346" ht="25" customHeight="1" x14ac:dyDescent="0.35"/>
    <row r="347" ht="25" customHeight="1" x14ac:dyDescent="0.35"/>
    <row r="348" ht="25" customHeight="1" x14ac:dyDescent="0.35"/>
    <row r="349" ht="25" customHeight="1" x14ac:dyDescent="0.35"/>
    <row r="350" ht="25" customHeight="1" x14ac:dyDescent="0.35"/>
    <row r="351" ht="25" customHeight="1" x14ac:dyDescent="0.35"/>
    <row r="352" ht="25" customHeight="1" x14ac:dyDescent="0.35"/>
    <row r="353" ht="25" customHeight="1" x14ac:dyDescent="0.35"/>
    <row r="354" ht="25" customHeight="1" x14ac:dyDescent="0.35"/>
    <row r="355" ht="25" customHeight="1" x14ac:dyDescent="0.35"/>
    <row r="356" ht="25" customHeight="1" x14ac:dyDescent="0.35"/>
    <row r="357" ht="25" customHeight="1" x14ac:dyDescent="0.35"/>
    <row r="358" ht="25" customHeight="1" x14ac:dyDescent="0.35"/>
    <row r="359" ht="25" customHeight="1" x14ac:dyDescent="0.35"/>
    <row r="360" ht="25" customHeight="1" x14ac:dyDescent="0.35"/>
    <row r="361" ht="25" customHeight="1" x14ac:dyDescent="0.35"/>
    <row r="362" ht="25" customHeight="1" x14ac:dyDescent="0.35"/>
    <row r="363" ht="25" customHeight="1" x14ac:dyDescent="0.35"/>
    <row r="364" ht="25" customHeight="1" x14ac:dyDescent="0.35"/>
    <row r="365" ht="25" customHeight="1" x14ac:dyDescent="0.35"/>
    <row r="366" ht="25" customHeight="1" x14ac:dyDescent="0.35"/>
    <row r="367" ht="25" customHeight="1" x14ac:dyDescent="0.35"/>
    <row r="368" ht="25" customHeight="1" x14ac:dyDescent="0.35"/>
    <row r="369" ht="25" customHeight="1" x14ac:dyDescent="0.35"/>
    <row r="370" ht="25" customHeight="1" x14ac:dyDescent="0.35"/>
    <row r="371" ht="25" customHeight="1" x14ac:dyDescent="0.35"/>
    <row r="372" ht="25" customHeight="1" x14ac:dyDescent="0.35"/>
    <row r="373" ht="25" customHeight="1" x14ac:dyDescent="0.35"/>
    <row r="374" ht="25" customHeight="1" x14ac:dyDescent="0.35"/>
    <row r="375" ht="25" customHeight="1" x14ac:dyDescent="0.35"/>
    <row r="376" ht="25" customHeight="1" x14ac:dyDescent="0.35"/>
    <row r="377" ht="25" customHeight="1" x14ac:dyDescent="0.35"/>
    <row r="378" ht="25" customHeight="1" x14ac:dyDescent="0.35"/>
    <row r="379" ht="25" customHeight="1" x14ac:dyDescent="0.35"/>
    <row r="380" ht="25" customHeight="1" x14ac:dyDescent="0.35"/>
    <row r="381" ht="25" customHeight="1" x14ac:dyDescent="0.35"/>
    <row r="382" ht="25" customHeight="1" x14ac:dyDescent="0.35"/>
    <row r="383" ht="25" customHeight="1" x14ac:dyDescent="0.35"/>
    <row r="384" ht="25" customHeight="1" x14ac:dyDescent="0.35"/>
    <row r="385" ht="25" customHeight="1" x14ac:dyDescent="0.35"/>
    <row r="386" ht="25" customHeight="1" x14ac:dyDescent="0.35"/>
    <row r="387" ht="25" customHeight="1" x14ac:dyDescent="0.35"/>
    <row r="388" ht="25" customHeight="1" x14ac:dyDescent="0.35"/>
    <row r="389" ht="25" customHeight="1" x14ac:dyDescent="0.35"/>
    <row r="390" ht="25" customHeight="1" x14ac:dyDescent="0.35"/>
    <row r="391" ht="25" customHeight="1" x14ac:dyDescent="0.35"/>
    <row r="392" ht="25" customHeight="1" x14ac:dyDescent="0.35"/>
    <row r="393" ht="25" customHeight="1" x14ac:dyDescent="0.35"/>
    <row r="394" ht="25" customHeight="1" x14ac:dyDescent="0.35"/>
    <row r="395" ht="25" customHeight="1" x14ac:dyDescent="0.35"/>
    <row r="396" ht="25" customHeight="1" x14ac:dyDescent="0.35"/>
    <row r="397" ht="25" customHeight="1" x14ac:dyDescent="0.35"/>
    <row r="398" ht="25" customHeight="1" x14ac:dyDescent="0.35"/>
    <row r="399" ht="25" customHeight="1" x14ac:dyDescent="0.35"/>
    <row r="400" ht="25" customHeight="1" x14ac:dyDescent="0.35"/>
    <row r="401" ht="25" customHeight="1" x14ac:dyDescent="0.35"/>
    <row r="402" ht="25" customHeight="1" x14ac:dyDescent="0.35"/>
    <row r="403" ht="25" customHeight="1" x14ac:dyDescent="0.35"/>
    <row r="404" ht="25" customHeight="1" x14ac:dyDescent="0.35"/>
    <row r="405" ht="25" customHeight="1" x14ac:dyDescent="0.35"/>
    <row r="406" ht="25" customHeight="1" x14ac:dyDescent="0.35"/>
    <row r="407" ht="25" customHeight="1" x14ac:dyDescent="0.35"/>
    <row r="408" ht="25" customHeight="1" x14ac:dyDescent="0.35"/>
    <row r="409" ht="25" customHeight="1" x14ac:dyDescent="0.35"/>
    <row r="410" ht="25" customHeight="1" x14ac:dyDescent="0.35"/>
    <row r="411" ht="25" customHeight="1" x14ac:dyDescent="0.35"/>
    <row r="412" ht="25" customHeight="1" x14ac:dyDescent="0.35"/>
    <row r="413" ht="25" customHeight="1" x14ac:dyDescent="0.35"/>
    <row r="414" ht="25" customHeight="1" x14ac:dyDescent="0.35"/>
    <row r="415" ht="25" customHeight="1" x14ac:dyDescent="0.35"/>
    <row r="416" ht="25" customHeight="1" x14ac:dyDescent="0.35"/>
    <row r="417" ht="25" customHeight="1" x14ac:dyDescent="0.35"/>
    <row r="418" ht="25" customHeight="1" x14ac:dyDescent="0.35"/>
    <row r="419" ht="25" customHeight="1" x14ac:dyDescent="0.35"/>
    <row r="420" ht="25" customHeight="1" x14ac:dyDescent="0.35"/>
    <row r="421" ht="25" customHeight="1" x14ac:dyDescent="0.35"/>
    <row r="422" ht="25" customHeight="1" x14ac:dyDescent="0.35"/>
    <row r="423" ht="25" customHeight="1" x14ac:dyDescent="0.35"/>
    <row r="424" ht="25" customHeight="1" x14ac:dyDescent="0.35"/>
    <row r="425" ht="25" customHeight="1" x14ac:dyDescent="0.35"/>
    <row r="426" ht="25" customHeight="1" x14ac:dyDescent="0.35"/>
    <row r="427" ht="25" customHeight="1" x14ac:dyDescent="0.35"/>
    <row r="428" ht="25" customHeight="1" x14ac:dyDescent="0.35"/>
    <row r="429" ht="25" customHeight="1" x14ac:dyDescent="0.35"/>
    <row r="430" ht="25" customHeight="1" x14ac:dyDescent="0.35"/>
    <row r="431" ht="25" customHeight="1" x14ac:dyDescent="0.35"/>
    <row r="432" ht="25" customHeight="1" x14ac:dyDescent="0.35"/>
    <row r="433" ht="25" customHeight="1" x14ac:dyDescent="0.35"/>
    <row r="434" ht="25" customHeight="1" x14ac:dyDescent="0.35"/>
    <row r="435" ht="25" customHeight="1" x14ac:dyDescent="0.35"/>
    <row r="436" ht="25" customHeight="1" x14ac:dyDescent="0.35"/>
    <row r="437" ht="25" customHeight="1" x14ac:dyDescent="0.35"/>
    <row r="438" ht="25" customHeight="1" x14ac:dyDescent="0.35"/>
    <row r="439" ht="25" customHeight="1" x14ac:dyDescent="0.35"/>
    <row r="440" ht="25" customHeight="1" x14ac:dyDescent="0.35"/>
    <row r="441" ht="25" customHeight="1" x14ac:dyDescent="0.35"/>
    <row r="442" ht="25" customHeight="1" x14ac:dyDescent="0.35"/>
    <row r="443" ht="25" customHeight="1" x14ac:dyDescent="0.35"/>
    <row r="444" ht="25" customHeight="1" x14ac:dyDescent="0.35"/>
    <row r="445" ht="25" customHeight="1" x14ac:dyDescent="0.35"/>
    <row r="446" ht="25" customHeight="1" x14ac:dyDescent="0.35"/>
    <row r="447" ht="25" customHeight="1" x14ac:dyDescent="0.35"/>
    <row r="448" ht="25" customHeight="1" x14ac:dyDescent="0.35"/>
    <row r="449" ht="25" customHeight="1" x14ac:dyDescent="0.35"/>
    <row r="450" ht="25" customHeight="1" x14ac:dyDescent="0.35"/>
    <row r="451" ht="25" customHeight="1" x14ac:dyDescent="0.35"/>
    <row r="452" ht="25" customHeight="1" x14ac:dyDescent="0.35"/>
    <row r="453" ht="25" customHeight="1" x14ac:dyDescent="0.35"/>
    <row r="454" ht="25" customHeight="1" x14ac:dyDescent="0.35"/>
    <row r="455" ht="25" customHeight="1" x14ac:dyDescent="0.35"/>
    <row r="456" ht="25" customHeight="1" x14ac:dyDescent="0.35"/>
    <row r="457" ht="25" customHeight="1" x14ac:dyDescent="0.35"/>
    <row r="458" ht="25" customHeight="1" x14ac:dyDescent="0.35"/>
    <row r="459" ht="25" customHeight="1" x14ac:dyDescent="0.35"/>
    <row r="460" ht="25" customHeight="1" x14ac:dyDescent="0.35"/>
    <row r="461" ht="25" customHeight="1" x14ac:dyDescent="0.35"/>
    <row r="462" ht="25" customHeight="1" x14ac:dyDescent="0.35"/>
    <row r="463" ht="25" customHeight="1" x14ac:dyDescent="0.35"/>
    <row r="464" ht="25" customHeight="1" x14ac:dyDescent="0.35"/>
    <row r="465" ht="25" customHeight="1" x14ac:dyDescent="0.35"/>
    <row r="466" ht="25" customHeight="1" x14ac:dyDescent="0.35"/>
    <row r="467" ht="25" customHeight="1" x14ac:dyDescent="0.35"/>
    <row r="468" ht="25" customHeight="1" x14ac:dyDescent="0.35"/>
    <row r="469" ht="25" customHeight="1" x14ac:dyDescent="0.35"/>
    <row r="470" ht="25" customHeight="1" x14ac:dyDescent="0.35"/>
    <row r="471" ht="25" customHeight="1" x14ac:dyDescent="0.35"/>
    <row r="472" ht="25" customHeight="1" x14ac:dyDescent="0.35"/>
    <row r="473" ht="25" customHeight="1" x14ac:dyDescent="0.35"/>
    <row r="474" ht="25" customHeight="1" x14ac:dyDescent="0.35"/>
    <row r="475" ht="25" customHeight="1" x14ac:dyDescent="0.35"/>
    <row r="476" ht="25" customHeight="1" x14ac:dyDescent="0.35"/>
    <row r="477" ht="25" customHeight="1" x14ac:dyDescent="0.35"/>
    <row r="478" ht="25" customHeight="1" x14ac:dyDescent="0.35"/>
    <row r="479" ht="25" customHeight="1" x14ac:dyDescent="0.35"/>
    <row r="480" ht="25" customHeight="1" x14ac:dyDescent="0.35"/>
    <row r="481" ht="25" customHeight="1" x14ac:dyDescent="0.35"/>
    <row r="482" ht="25" customHeight="1" x14ac:dyDescent="0.35"/>
    <row r="483" ht="25" customHeight="1" x14ac:dyDescent="0.35"/>
    <row r="484" ht="25" customHeight="1" x14ac:dyDescent="0.35"/>
    <row r="485" ht="25" customHeight="1" x14ac:dyDescent="0.35"/>
    <row r="486" ht="25" customHeight="1" x14ac:dyDescent="0.35"/>
    <row r="487" ht="25" customHeight="1" x14ac:dyDescent="0.35"/>
    <row r="488" ht="25" customHeight="1" x14ac:dyDescent="0.35"/>
    <row r="489" ht="25" customHeight="1" x14ac:dyDescent="0.35"/>
    <row r="490" ht="25" customHeight="1" x14ac:dyDescent="0.35"/>
    <row r="491" ht="25" customHeight="1" x14ac:dyDescent="0.35"/>
    <row r="492" ht="25" customHeight="1" x14ac:dyDescent="0.35"/>
    <row r="493" ht="25" customHeight="1" x14ac:dyDescent="0.35"/>
    <row r="494" ht="25" customHeight="1" x14ac:dyDescent="0.35"/>
    <row r="495" ht="25" customHeight="1" x14ac:dyDescent="0.35"/>
    <row r="496" ht="25" customHeight="1" x14ac:dyDescent="0.35"/>
    <row r="497" ht="25" customHeight="1" x14ac:dyDescent="0.35"/>
    <row r="498" ht="25" customHeight="1" x14ac:dyDescent="0.35"/>
    <row r="499" ht="25" customHeight="1" x14ac:dyDescent="0.35"/>
    <row r="500" ht="25" customHeight="1" x14ac:dyDescent="0.35"/>
    <row r="501" ht="25" customHeight="1" x14ac:dyDescent="0.35"/>
    <row r="502" ht="25" customHeight="1" x14ac:dyDescent="0.35"/>
    <row r="503" ht="25" customHeight="1" x14ac:dyDescent="0.35"/>
    <row r="504" ht="25" customHeight="1" x14ac:dyDescent="0.35"/>
    <row r="505" ht="25" customHeight="1" x14ac:dyDescent="0.35"/>
    <row r="506" ht="25" customHeight="1" x14ac:dyDescent="0.35"/>
    <row r="507" ht="25" customHeight="1" x14ac:dyDescent="0.35"/>
    <row r="508" ht="25" customHeight="1" x14ac:dyDescent="0.35"/>
    <row r="509" ht="25" customHeight="1" x14ac:dyDescent="0.35"/>
    <row r="510" ht="25" customHeight="1" x14ac:dyDescent="0.35"/>
    <row r="511" ht="25" customHeight="1" x14ac:dyDescent="0.35"/>
    <row r="512" ht="25" customHeight="1" x14ac:dyDescent="0.35"/>
    <row r="513" ht="25" customHeight="1" x14ac:dyDescent="0.35"/>
    <row r="514" ht="25" customHeight="1" x14ac:dyDescent="0.35"/>
    <row r="515" ht="25" customHeight="1" x14ac:dyDescent="0.35"/>
    <row r="516" ht="25" customHeight="1" x14ac:dyDescent="0.35"/>
    <row r="517" ht="25" customHeight="1" x14ac:dyDescent="0.35"/>
    <row r="518" ht="25" customHeight="1" x14ac:dyDescent="0.35"/>
    <row r="519" ht="25" customHeight="1" x14ac:dyDescent="0.35"/>
    <row r="520" ht="25" customHeight="1" x14ac:dyDescent="0.35"/>
    <row r="521" ht="25" customHeight="1" x14ac:dyDescent="0.35"/>
    <row r="522" ht="25" customHeight="1" x14ac:dyDescent="0.35"/>
    <row r="523" ht="25" customHeight="1" x14ac:dyDescent="0.35"/>
    <row r="524" ht="25" customHeight="1" x14ac:dyDescent="0.35"/>
    <row r="525" ht="25" customHeight="1" x14ac:dyDescent="0.35"/>
    <row r="526" ht="25" customHeight="1" x14ac:dyDescent="0.35"/>
    <row r="527" ht="25" customHeight="1" x14ac:dyDescent="0.35"/>
    <row r="528" ht="25" customHeight="1" x14ac:dyDescent="0.35"/>
    <row r="529" ht="25" customHeight="1" x14ac:dyDescent="0.35"/>
    <row r="530" ht="25" customHeight="1" x14ac:dyDescent="0.35"/>
    <row r="531" ht="25" customHeight="1" x14ac:dyDescent="0.35"/>
    <row r="532" ht="25" customHeight="1" x14ac:dyDescent="0.35"/>
    <row r="533" ht="25" customHeight="1" x14ac:dyDescent="0.35"/>
    <row r="534" ht="25" customHeight="1" x14ac:dyDescent="0.35"/>
    <row r="535" ht="25" customHeight="1" x14ac:dyDescent="0.35"/>
    <row r="536" ht="25" customHeight="1" x14ac:dyDescent="0.35"/>
    <row r="537" ht="25" customHeight="1" x14ac:dyDescent="0.35"/>
    <row r="538" ht="25" customHeight="1" x14ac:dyDescent="0.35"/>
    <row r="539" ht="25" customHeight="1" x14ac:dyDescent="0.35"/>
    <row r="540" ht="25" customHeight="1" x14ac:dyDescent="0.35"/>
    <row r="541" ht="25" customHeight="1" x14ac:dyDescent="0.35"/>
    <row r="542" ht="25" customHeight="1" x14ac:dyDescent="0.35"/>
    <row r="543" ht="25" customHeight="1" x14ac:dyDescent="0.35"/>
    <row r="544" ht="25" customHeight="1" x14ac:dyDescent="0.35"/>
    <row r="545" ht="25" customHeight="1" x14ac:dyDescent="0.35"/>
    <row r="546" ht="25" customHeight="1" x14ac:dyDescent="0.35"/>
    <row r="547" ht="25" customHeight="1" x14ac:dyDescent="0.35"/>
    <row r="548" ht="25" customHeight="1" x14ac:dyDescent="0.35"/>
    <row r="549" ht="25" customHeight="1" x14ac:dyDescent="0.35"/>
    <row r="550" ht="25" customHeight="1" x14ac:dyDescent="0.35"/>
    <row r="551" ht="25" customHeight="1" x14ac:dyDescent="0.35"/>
    <row r="552" ht="25" customHeight="1" x14ac:dyDescent="0.35"/>
    <row r="553" ht="25" customHeight="1" x14ac:dyDescent="0.35"/>
    <row r="554" ht="25" customHeight="1" x14ac:dyDescent="0.35"/>
    <row r="555" ht="25" customHeight="1" x14ac:dyDescent="0.35"/>
    <row r="556" ht="25" customHeight="1" x14ac:dyDescent="0.35"/>
    <row r="557" ht="25" customHeight="1" x14ac:dyDescent="0.35"/>
    <row r="558" ht="25" customHeight="1" x14ac:dyDescent="0.35"/>
    <row r="559" ht="25" customHeight="1" x14ac:dyDescent="0.35"/>
    <row r="560" ht="25" customHeight="1" x14ac:dyDescent="0.35"/>
    <row r="561" ht="25" customHeight="1" x14ac:dyDescent="0.35"/>
    <row r="562" ht="25" customHeight="1" x14ac:dyDescent="0.35"/>
    <row r="563" ht="25" customHeight="1" x14ac:dyDescent="0.35"/>
    <row r="564" ht="25" customHeight="1" x14ac:dyDescent="0.35"/>
    <row r="565" ht="25" customHeight="1" x14ac:dyDescent="0.35"/>
    <row r="566" ht="25" customHeight="1" x14ac:dyDescent="0.35"/>
    <row r="567" ht="25" customHeight="1" x14ac:dyDescent="0.35"/>
    <row r="568" ht="25" customHeight="1" x14ac:dyDescent="0.35"/>
    <row r="569" ht="25" customHeight="1" x14ac:dyDescent="0.35"/>
    <row r="570" ht="25" customHeight="1" x14ac:dyDescent="0.35"/>
    <row r="571" ht="25" customHeight="1" x14ac:dyDescent="0.35"/>
    <row r="572" ht="25" customHeight="1" x14ac:dyDescent="0.35"/>
    <row r="573" ht="25" customHeight="1" x14ac:dyDescent="0.35"/>
    <row r="574" ht="25" customHeight="1" x14ac:dyDescent="0.35"/>
    <row r="575" ht="25" customHeight="1" x14ac:dyDescent="0.35"/>
    <row r="576" ht="25" customHeight="1" x14ac:dyDescent="0.35"/>
    <row r="577" ht="25" customHeight="1" x14ac:dyDescent="0.35"/>
    <row r="578" ht="25" customHeight="1" x14ac:dyDescent="0.35"/>
    <row r="579" ht="25" customHeight="1" x14ac:dyDescent="0.35"/>
    <row r="580" ht="25" customHeight="1" x14ac:dyDescent="0.35"/>
    <row r="581" ht="25" customHeight="1" x14ac:dyDescent="0.35"/>
    <row r="582" ht="25" customHeight="1" x14ac:dyDescent="0.35"/>
    <row r="583" ht="25" customHeight="1" x14ac:dyDescent="0.35"/>
    <row r="584" ht="25" customHeight="1" x14ac:dyDescent="0.35"/>
    <row r="585" ht="25" customHeight="1" x14ac:dyDescent="0.35"/>
    <row r="586" ht="25" customHeight="1" x14ac:dyDescent="0.35"/>
    <row r="587" ht="25" customHeight="1" x14ac:dyDescent="0.35"/>
    <row r="588" ht="25" customHeight="1" x14ac:dyDescent="0.35"/>
    <row r="589" ht="25" customHeight="1" x14ac:dyDescent="0.35"/>
    <row r="590" ht="25" customHeight="1" x14ac:dyDescent="0.35"/>
    <row r="591" ht="25" customHeight="1" x14ac:dyDescent="0.35"/>
    <row r="592" ht="25" customHeight="1" x14ac:dyDescent="0.35"/>
    <row r="593" ht="25" customHeight="1" x14ac:dyDescent="0.35"/>
    <row r="594" ht="25" customHeight="1" x14ac:dyDescent="0.35"/>
    <row r="595" ht="25" customHeight="1" x14ac:dyDescent="0.35"/>
    <row r="596" ht="25" customHeight="1" x14ac:dyDescent="0.35"/>
    <row r="597" ht="25" customHeight="1" x14ac:dyDescent="0.35"/>
    <row r="598" ht="25" customHeight="1" x14ac:dyDescent="0.35"/>
    <row r="599" ht="25" customHeight="1" x14ac:dyDescent="0.35"/>
    <row r="600" ht="25" customHeight="1" x14ac:dyDescent="0.35"/>
    <row r="601" ht="25" customHeight="1" x14ac:dyDescent="0.35"/>
    <row r="602" ht="25" customHeight="1" x14ac:dyDescent="0.35"/>
    <row r="603" ht="25" customHeight="1" x14ac:dyDescent="0.35"/>
    <row r="604" ht="25" customHeight="1" x14ac:dyDescent="0.35"/>
    <row r="605" ht="25" customHeight="1" x14ac:dyDescent="0.35"/>
    <row r="606" ht="25" customHeight="1" x14ac:dyDescent="0.35"/>
    <row r="607" ht="25" customHeight="1" x14ac:dyDescent="0.35"/>
    <row r="608" ht="25" customHeight="1" x14ac:dyDescent="0.35"/>
    <row r="609" ht="25" customHeight="1" x14ac:dyDescent="0.35"/>
    <row r="610" ht="25" customHeight="1" x14ac:dyDescent="0.35"/>
    <row r="611" ht="25" customHeight="1" x14ac:dyDescent="0.35"/>
    <row r="612" ht="25" customHeight="1" x14ac:dyDescent="0.35"/>
    <row r="613" ht="25" customHeight="1" x14ac:dyDescent="0.35"/>
    <row r="614" ht="25" customHeight="1" x14ac:dyDescent="0.35"/>
    <row r="615" ht="25" customHeight="1" x14ac:dyDescent="0.35"/>
    <row r="616" ht="25" customHeight="1" x14ac:dyDescent="0.35"/>
    <row r="617" ht="25" customHeight="1" x14ac:dyDescent="0.35"/>
    <row r="618" ht="25" customHeight="1" x14ac:dyDescent="0.35"/>
    <row r="619" ht="25" customHeight="1" x14ac:dyDescent="0.35"/>
    <row r="620" ht="25" customHeight="1" x14ac:dyDescent="0.35"/>
    <row r="621" ht="25" customHeight="1" x14ac:dyDescent="0.35"/>
    <row r="622" ht="25" customHeight="1" x14ac:dyDescent="0.35"/>
    <row r="623" ht="25" customHeight="1" x14ac:dyDescent="0.35"/>
    <row r="624" ht="25" customHeight="1" x14ac:dyDescent="0.35"/>
    <row r="625" ht="25" customHeight="1" x14ac:dyDescent="0.35"/>
    <row r="626" ht="25" customHeight="1" x14ac:dyDescent="0.35"/>
    <row r="627" ht="25" customHeight="1" x14ac:dyDescent="0.35"/>
    <row r="628" ht="25" customHeight="1" x14ac:dyDescent="0.35"/>
    <row r="629" ht="25" customHeight="1" x14ac:dyDescent="0.35"/>
    <row r="630" ht="25" customHeight="1" x14ac:dyDescent="0.35"/>
    <row r="631" ht="25" customHeight="1" x14ac:dyDescent="0.35"/>
    <row r="632" ht="25" customHeight="1" x14ac:dyDescent="0.35"/>
    <row r="633" ht="25" customHeight="1" x14ac:dyDescent="0.35"/>
    <row r="634" ht="25" customHeight="1" x14ac:dyDescent="0.35"/>
    <row r="635" ht="25" customHeight="1" x14ac:dyDescent="0.35"/>
    <row r="636" ht="25" customHeight="1" x14ac:dyDescent="0.35"/>
    <row r="637" ht="25" customHeight="1" x14ac:dyDescent="0.35"/>
    <row r="638" ht="25" customHeight="1" x14ac:dyDescent="0.35"/>
    <row r="639" ht="25" customHeight="1" x14ac:dyDescent="0.35"/>
    <row r="640" ht="25" customHeight="1" x14ac:dyDescent="0.35"/>
    <row r="641" ht="25" customHeight="1" x14ac:dyDescent="0.35"/>
    <row r="642" ht="25" customHeight="1" x14ac:dyDescent="0.35"/>
    <row r="643" ht="25" customHeight="1" x14ac:dyDescent="0.35"/>
    <row r="644" ht="25" customHeight="1" x14ac:dyDescent="0.35"/>
    <row r="645" ht="25" customHeight="1" x14ac:dyDescent="0.35"/>
    <row r="646" ht="25" customHeight="1" x14ac:dyDescent="0.35"/>
    <row r="647" ht="25" customHeight="1" x14ac:dyDescent="0.35"/>
    <row r="648" ht="25" customHeight="1" x14ac:dyDescent="0.35"/>
    <row r="649" ht="25" customHeight="1" x14ac:dyDescent="0.35"/>
    <row r="650" ht="25" customHeight="1" x14ac:dyDescent="0.35"/>
    <row r="651" ht="25" customHeight="1" x14ac:dyDescent="0.35"/>
    <row r="652" ht="25" customHeight="1" x14ac:dyDescent="0.35"/>
    <row r="653" ht="25" customHeight="1" x14ac:dyDescent="0.35"/>
    <row r="654" ht="25" customHeight="1" x14ac:dyDescent="0.35"/>
    <row r="655" ht="25" customHeight="1" x14ac:dyDescent="0.35"/>
    <row r="656" ht="25" customHeight="1" x14ac:dyDescent="0.35"/>
    <row r="657" ht="25" customHeight="1" x14ac:dyDescent="0.35"/>
    <row r="658" ht="25" customHeight="1" x14ac:dyDescent="0.35"/>
    <row r="659" ht="25" customHeight="1" x14ac:dyDescent="0.35"/>
    <row r="660" ht="25" customHeight="1" x14ac:dyDescent="0.35"/>
    <row r="661" ht="25" customHeight="1" x14ac:dyDescent="0.35"/>
    <row r="662" ht="25" customHeight="1" x14ac:dyDescent="0.35"/>
    <row r="663" ht="25" customHeight="1" x14ac:dyDescent="0.35"/>
    <row r="664" ht="25" customHeight="1" x14ac:dyDescent="0.35"/>
    <row r="665" ht="25" customHeight="1" x14ac:dyDescent="0.35"/>
    <row r="666" ht="25" customHeight="1" x14ac:dyDescent="0.35"/>
    <row r="667" ht="25" customHeight="1" x14ac:dyDescent="0.35"/>
    <row r="668" ht="25" customHeight="1" x14ac:dyDescent="0.35"/>
    <row r="669" ht="25" customHeight="1" x14ac:dyDescent="0.35"/>
    <row r="670" ht="25" customHeight="1" x14ac:dyDescent="0.35"/>
    <row r="671" ht="25" customHeight="1" x14ac:dyDescent="0.35"/>
    <row r="672" ht="25" customHeight="1" x14ac:dyDescent="0.35"/>
    <row r="673" ht="25" customHeight="1" x14ac:dyDescent="0.35"/>
    <row r="674" ht="25" customHeight="1" x14ac:dyDescent="0.35"/>
    <row r="675" ht="25" customHeight="1" x14ac:dyDescent="0.35"/>
    <row r="676" ht="25" customHeight="1" x14ac:dyDescent="0.35"/>
    <row r="677" ht="25" customHeight="1" x14ac:dyDescent="0.35"/>
    <row r="678" ht="25" customHeight="1" x14ac:dyDescent="0.35"/>
    <row r="679" ht="25" customHeight="1" x14ac:dyDescent="0.35"/>
    <row r="680" ht="25" customHeight="1" x14ac:dyDescent="0.35"/>
    <row r="681" ht="25" customHeight="1" x14ac:dyDescent="0.35"/>
    <row r="682" ht="25" customHeight="1" x14ac:dyDescent="0.35"/>
    <row r="683" ht="25" customHeight="1" x14ac:dyDescent="0.35"/>
    <row r="684" ht="25" customHeight="1" x14ac:dyDescent="0.35"/>
    <row r="685" ht="25" customHeight="1" x14ac:dyDescent="0.35"/>
    <row r="686" ht="25" customHeight="1" x14ac:dyDescent="0.35"/>
    <row r="687" ht="25" customHeight="1" x14ac:dyDescent="0.35"/>
    <row r="688" ht="25" customHeight="1" x14ac:dyDescent="0.35"/>
    <row r="689" ht="25" customHeight="1" x14ac:dyDescent="0.35"/>
    <row r="690" ht="25" customHeight="1" x14ac:dyDescent="0.35"/>
    <row r="691" ht="25" customHeight="1" x14ac:dyDescent="0.35"/>
    <row r="692" ht="25" customHeight="1" x14ac:dyDescent="0.35"/>
    <row r="693" ht="25" customHeight="1" x14ac:dyDescent="0.35"/>
    <row r="694" ht="25" customHeight="1" x14ac:dyDescent="0.35"/>
    <row r="695" ht="25" customHeight="1" x14ac:dyDescent="0.35"/>
    <row r="696" ht="25" customHeight="1" x14ac:dyDescent="0.35"/>
    <row r="697" ht="25" customHeight="1" x14ac:dyDescent="0.35"/>
    <row r="698" ht="25" customHeight="1" x14ac:dyDescent="0.35"/>
    <row r="699" ht="25" customHeight="1" x14ac:dyDescent="0.35"/>
    <row r="700" ht="25" customHeight="1" x14ac:dyDescent="0.35"/>
    <row r="701" ht="25" customHeight="1" x14ac:dyDescent="0.35"/>
    <row r="702" ht="25" customHeight="1" x14ac:dyDescent="0.35"/>
    <row r="703" ht="25" customHeight="1" x14ac:dyDescent="0.35"/>
    <row r="704" ht="25" customHeight="1" x14ac:dyDescent="0.35"/>
    <row r="705" ht="25" customHeight="1" x14ac:dyDescent="0.35"/>
    <row r="706" ht="25" customHeight="1" x14ac:dyDescent="0.35"/>
    <row r="707" ht="25" customHeight="1" x14ac:dyDescent="0.35"/>
    <row r="708" ht="25" customHeight="1" x14ac:dyDescent="0.35"/>
    <row r="709" ht="25" customHeight="1" x14ac:dyDescent="0.35"/>
    <row r="710" ht="25" customHeight="1" x14ac:dyDescent="0.35"/>
    <row r="711" ht="25" customHeight="1" x14ac:dyDescent="0.35"/>
    <row r="712" ht="25" customHeight="1" x14ac:dyDescent="0.35"/>
    <row r="713" ht="25" customHeight="1" x14ac:dyDescent="0.35"/>
    <row r="714" ht="25" customHeight="1" x14ac:dyDescent="0.35"/>
    <row r="715" ht="25" customHeight="1" x14ac:dyDescent="0.35"/>
    <row r="716" ht="25" customHeight="1" x14ac:dyDescent="0.35"/>
    <row r="717" ht="25" customHeight="1" x14ac:dyDescent="0.35"/>
    <row r="718" ht="25" customHeight="1" x14ac:dyDescent="0.35"/>
    <row r="719" ht="25" customHeight="1" x14ac:dyDescent="0.35"/>
    <row r="720" ht="25" customHeight="1" x14ac:dyDescent="0.35"/>
    <row r="721" ht="25" customHeight="1" x14ac:dyDescent="0.35"/>
    <row r="722" ht="25" customHeight="1" x14ac:dyDescent="0.35"/>
    <row r="723" ht="25" customHeight="1" x14ac:dyDescent="0.35"/>
    <row r="724" ht="25" customHeight="1" x14ac:dyDescent="0.35"/>
    <row r="725" ht="25" customHeight="1" x14ac:dyDescent="0.35"/>
    <row r="726" ht="25" customHeight="1" x14ac:dyDescent="0.35"/>
    <row r="727" ht="25" customHeight="1" x14ac:dyDescent="0.35"/>
    <row r="728" ht="25" customHeight="1" x14ac:dyDescent="0.35"/>
    <row r="729" ht="25" customHeight="1" x14ac:dyDescent="0.35"/>
    <row r="730" ht="25" customHeight="1" x14ac:dyDescent="0.35"/>
    <row r="731" ht="25" customHeight="1" x14ac:dyDescent="0.35"/>
    <row r="732" ht="25" customHeight="1" x14ac:dyDescent="0.35"/>
    <row r="733" ht="25" customHeight="1" x14ac:dyDescent="0.35"/>
    <row r="734" ht="25" customHeight="1" x14ac:dyDescent="0.35"/>
    <row r="735" ht="25" customHeight="1" x14ac:dyDescent="0.35"/>
    <row r="736" ht="25" customHeight="1" x14ac:dyDescent="0.35"/>
    <row r="737" ht="25" customHeight="1" x14ac:dyDescent="0.35"/>
    <row r="738" ht="25" customHeight="1" x14ac:dyDescent="0.35"/>
    <row r="739" ht="25" customHeight="1" x14ac:dyDescent="0.35"/>
    <row r="740" ht="25" customHeight="1" x14ac:dyDescent="0.35"/>
    <row r="741" ht="25" customHeight="1" x14ac:dyDescent="0.35"/>
    <row r="742" ht="25" customHeight="1" x14ac:dyDescent="0.35"/>
    <row r="743" ht="25" customHeight="1" x14ac:dyDescent="0.35"/>
    <row r="744" ht="25" customHeight="1" x14ac:dyDescent="0.35"/>
    <row r="745" ht="25" customHeight="1" x14ac:dyDescent="0.35"/>
    <row r="746" ht="25" customHeight="1" x14ac:dyDescent="0.35"/>
    <row r="747" ht="25" customHeight="1" x14ac:dyDescent="0.35"/>
    <row r="748" ht="25" customHeight="1" x14ac:dyDescent="0.35"/>
    <row r="749" ht="25" customHeight="1" x14ac:dyDescent="0.35"/>
    <row r="750" ht="25" customHeight="1" x14ac:dyDescent="0.35"/>
    <row r="751" ht="25" customHeight="1" x14ac:dyDescent="0.35"/>
    <row r="752" ht="25" customHeight="1" x14ac:dyDescent="0.35"/>
    <row r="753" ht="25" customHeight="1" x14ac:dyDescent="0.35"/>
    <row r="754" ht="25" customHeight="1" x14ac:dyDescent="0.35"/>
    <row r="755" ht="25" customHeight="1" x14ac:dyDescent="0.35"/>
    <row r="756" ht="25" customHeight="1" x14ac:dyDescent="0.35"/>
    <row r="757" ht="25" customHeight="1" x14ac:dyDescent="0.35"/>
    <row r="758" ht="25" customHeight="1" x14ac:dyDescent="0.35"/>
    <row r="759" ht="25" customHeight="1" x14ac:dyDescent="0.35"/>
    <row r="760" ht="25" customHeight="1" x14ac:dyDescent="0.35"/>
    <row r="761" ht="25" customHeight="1" x14ac:dyDescent="0.35"/>
    <row r="762" ht="25" customHeight="1" x14ac:dyDescent="0.35"/>
    <row r="763" ht="25" customHeight="1" x14ac:dyDescent="0.35"/>
    <row r="764" ht="25" customHeight="1" x14ac:dyDescent="0.35"/>
    <row r="765" ht="25" customHeight="1" x14ac:dyDescent="0.35"/>
    <row r="766" ht="25" customHeight="1" x14ac:dyDescent="0.35"/>
    <row r="767" ht="25" customHeight="1" x14ac:dyDescent="0.35"/>
    <row r="768" ht="25" customHeight="1" x14ac:dyDescent="0.35"/>
    <row r="769" ht="25" customHeight="1" x14ac:dyDescent="0.35"/>
    <row r="770" ht="25" customHeight="1" x14ac:dyDescent="0.35"/>
    <row r="771" ht="25" customHeight="1" x14ac:dyDescent="0.35"/>
    <row r="772" ht="25" customHeight="1" x14ac:dyDescent="0.35"/>
    <row r="773" ht="25" customHeight="1" x14ac:dyDescent="0.35"/>
    <row r="774" ht="25" customHeight="1" x14ac:dyDescent="0.35"/>
    <row r="775" ht="25" customHeight="1" x14ac:dyDescent="0.35"/>
    <row r="776" ht="25" customHeight="1" x14ac:dyDescent="0.35"/>
    <row r="777" ht="25" customHeight="1" x14ac:dyDescent="0.35"/>
    <row r="778" ht="25" customHeight="1" x14ac:dyDescent="0.35"/>
    <row r="779" ht="25" customHeight="1" x14ac:dyDescent="0.35"/>
    <row r="780" ht="25" customHeight="1" x14ac:dyDescent="0.35"/>
    <row r="781" ht="25" customHeight="1" x14ac:dyDescent="0.35"/>
    <row r="782" ht="25" customHeight="1" x14ac:dyDescent="0.35"/>
    <row r="783" ht="25" customHeight="1" x14ac:dyDescent="0.35"/>
  </sheetData>
  <sheetProtection algorithmName="SHA-512" hashValue="LkjBDsoWsDhJGEFAOxgpq7KpgaDrmsyjOEV2s/qExOaHxbOEveB0A0qWeNdeZN/OmXc9NqPUDOsv0ZqgmlbEwQ==" saltValue="fgk9dvCYeYGi1vuh3qdVVQ==" spinCount="100000" sheet="1" selectLockedCells="1"/>
  <mergeCells count="6">
    <mergeCell ref="B5:D5"/>
    <mergeCell ref="E2:G5"/>
    <mergeCell ref="A1:H1"/>
    <mergeCell ref="B2:D2"/>
    <mergeCell ref="B3:D3"/>
    <mergeCell ref="B4:D4"/>
  </mergeCells>
  <conditionalFormatting sqref="H7:H79">
    <cfRule type="cellIs" dxfId="0" priority="1" operator="lessThan">
      <formula>0</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DP1.0</vt:lpstr>
      <vt:lpstr>DP1.1</vt:lpstr>
      <vt:lpstr>DP1.2</vt:lpstr>
      <vt:lpstr>DP2.0</vt:lpstr>
      <vt:lpstr>DP2.1</vt:lpstr>
      <vt:lpstr>FP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Log File</dc:title>
  <dc:creator>© Lakshman One</dc:creator>
  <cp:lastModifiedBy>Taylor Zhou</cp:lastModifiedBy>
  <dcterms:created xsi:type="dcterms:W3CDTF">2020-03-26T16:58:46Z</dcterms:created>
  <dcterms:modified xsi:type="dcterms:W3CDTF">2025-11-13T07:12:02Z</dcterms:modified>
</cp:coreProperties>
</file>